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.00 ₽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05 — Средний чек заказа</t>
        </is>
      </c>
    </row>
    <row r="2" ht="32" customHeight="1">
      <c r="A2" s="2" t="inlineStr">
        <is>
          <t>Метрика: Средний чек | Формула: Выручка ÷ число заказов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Выручка, ₽</t>
        </is>
      </c>
      <c r="D6" s="5" t="inlineStr">
        <is>
          <t>Знаменатель: Заказы</t>
        </is>
      </c>
      <c r="E6" s="5" t="inlineStr">
        <is>
          <t>Средний чек (₽/заказ)</t>
        </is>
      </c>
    </row>
    <row r="7">
      <c r="A7" s="6" t="inlineStr">
        <is>
          <t>SKU-05-A</t>
        </is>
      </c>
      <c r="B7" s="6" t="inlineStr">
        <is>
          <t>Группа A</t>
        </is>
      </c>
      <c r="C7" s="7" t="n">
        <v>186000</v>
      </c>
      <c r="D7" s="7" t="n">
        <v>120</v>
      </c>
      <c r="E7" s="8" t="n"/>
    </row>
    <row r="8">
      <c r="A8" s="6" t="inlineStr">
        <is>
          <t>SKU-05-B</t>
        </is>
      </c>
      <c r="B8" s="6" t="inlineStr">
        <is>
          <t>Группа B</t>
        </is>
      </c>
      <c r="C8" s="7" t="n">
        <v>264000</v>
      </c>
      <c r="D8" s="7" t="n">
        <v>160</v>
      </c>
      <c r="E8" s="8" t="n"/>
    </row>
    <row r="9">
      <c r="A9" s="6" t="inlineStr">
        <is>
          <t>SKU-05-C</t>
        </is>
      </c>
      <c r="B9" s="6" t="inlineStr">
        <is>
          <t>Группа C</t>
        </is>
      </c>
      <c r="C9" s="7" t="n">
        <v>94500</v>
      </c>
      <c r="D9" s="7" t="n">
        <v>70</v>
      </c>
      <c r="E9" s="8" t="n"/>
    </row>
    <row r="10">
      <c r="A10" s="6" t="inlineStr">
        <is>
          <t>SKU-05-D</t>
        </is>
      </c>
      <c r="B10" s="6" t="inlineStr">
        <is>
          <t>Группа D</t>
        </is>
      </c>
      <c r="C10" s="7" t="n">
        <v>384000</v>
      </c>
      <c r="D10" s="7" t="n">
        <v>240</v>
      </c>
      <c r="E10" s="8" t="n"/>
    </row>
    <row r="11">
      <c r="A11" s="6" t="inlineStr">
        <is>
          <t>SKU-05-E</t>
        </is>
      </c>
      <c r="B11" s="6" t="inlineStr">
        <is>
          <t>Группа E</t>
        </is>
      </c>
      <c r="C11" s="7" t="n">
        <v>132000</v>
      </c>
      <c r="D11" s="7" t="n">
        <v>100</v>
      </c>
      <c r="E11" s="8" t="n"/>
    </row>
    <row r="13">
      <c r="B13" s="9" t="inlineStr">
        <is>
          <t>Контрольный итог</t>
        </is>
      </c>
      <c r="E13" s="10">
        <f>IFERROR(SUM(C7:C11)/SUM(D7:D11),0)</f>
        <v/>
      </c>
    </row>
    <row r="15" ht="54" customHeight="1">
      <c r="A15" s="11" t="inlineStr">
        <is>
          <t>Пояснение: Средний чек может расти из-за повышения цены, комплектаций или изменения состава заказов. Изучайте одновременно число заказов и долю наборов.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05 — Средний чек заказа</t>
        </is>
      </c>
    </row>
    <row r="2" ht="32" customHeight="1">
      <c r="A2" s="2" t="inlineStr">
        <is>
          <t>Метрика: Средний чек | Формула: Выручка ÷ число заказов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Выручка, ₽</t>
        </is>
      </c>
      <c r="D6" s="5" t="inlineStr">
        <is>
          <t>Знаменатель: Заказы</t>
        </is>
      </c>
      <c r="E6" s="5" t="inlineStr">
        <is>
          <t>Средний чек (₽/заказ)</t>
        </is>
      </c>
    </row>
    <row r="7">
      <c r="A7" s="6" t="inlineStr">
        <is>
          <t>SKU-05-A</t>
        </is>
      </c>
      <c r="B7" s="6" t="inlineStr">
        <is>
          <t>Группа A</t>
        </is>
      </c>
      <c r="C7" s="7" t="n">
        <v>186000</v>
      </c>
      <c r="D7" s="7" t="n">
        <v>120</v>
      </c>
      <c r="E7" s="13">
        <f>IFERROR(C7/D7,0)</f>
        <v/>
      </c>
    </row>
    <row r="8">
      <c r="A8" s="6" t="inlineStr">
        <is>
          <t>SKU-05-B</t>
        </is>
      </c>
      <c r="B8" s="6" t="inlineStr">
        <is>
          <t>Группа B</t>
        </is>
      </c>
      <c r="C8" s="7" t="n">
        <v>264000</v>
      </c>
      <c r="D8" s="7" t="n">
        <v>160</v>
      </c>
      <c r="E8" s="13">
        <f>IFERROR(C8/D8,0)</f>
        <v/>
      </c>
    </row>
    <row r="9">
      <c r="A9" s="6" t="inlineStr">
        <is>
          <t>SKU-05-C</t>
        </is>
      </c>
      <c r="B9" s="6" t="inlineStr">
        <is>
          <t>Группа C</t>
        </is>
      </c>
      <c r="C9" s="7" t="n">
        <v>94500</v>
      </c>
      <c r="D9" s="7" t="n">
        <v>70</v>
      </c>
      <c r="E9" s="13">
        <f>IFERROR(C9/D9,0)</f>
        <v/>
      </c>
    </row>
    <row r="10">
      <c r="A10" s="6" t="inlineStr">
        <is>
          <t>SKU-05-D</t>
        </is>
      </c>
      <c r="B10" s="6" t="inlineStr">
        <is>
          <t>Группа D</t>
        </is>
      </c>
      <c r="C10" s="7" t="n">
        <v>384000</v>
      </c>
      <c r="D10" s="7" t="n">
        <v>240</v>
      </c>
      <c r="E10" s="13">
        <f>IFERROR(C10/D10,0)</f>
        <v/>
      </c>
    </row>
    <row r="11">
      <c r="A11" s="6" t="inlineStr">
        <is>
          <t>SKU-05-E</t>
        </is>
      </c>
      <c r="B11" s="6" t="inlineStr">
        <is>
          <t>Группа E</t>
        </is>
      </c>
      <c r="C11" s="7" t="n">
        <v>132000</v>
      </c>
      <c r="D11" s="7" t="n">
        <v>100</v>
      </c>
      <c r="E11" s="13">
        <f>IFERROR(C11/D11,0)</f>
        <v/>
      </c>
    </row>
    <row r="13">
      <c r="B13" s="9" t="inlineStr">
        <is>
          <t>Контрольный итог</t>
        </is>
      </c>
      <c r="E13" s="14">
        <f>IFERROR(SUM(C7:C11)/SUM(D7:D11),0)</f>
        <v/>
      </c>
    </row>
    <row r="15" ht="54" customHeight="1">
      <c r="A15" s="11" t="inlineStr">
        <is>
          <t>Пояснение: Средний чек может расти из-за повышения цены, комплектаций или изменения состава заказов. Изучайте одновременно число заказов и долю наборов.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Средний чек заказа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Выручка ÷ число заказов</t>
        </is>
      </c>
    </row>
    <row r="10" ht="42" customHeight="1">
      <c r="A10" t="inlineStr">
        <is>
          <t>Предупреждение</t>
        </is>
      </c>
      <c r="B10" s="11" t="inlineStr">
        <is>
          <t>Среднее арифметическое чеков SKU не равно среднему чеку всех заказов; нужен общий оборот / общее число заказов.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2026-09-23T20:41:51Z</dcterms:created>
  <dcterms:modified xmlns:dcterms="http://purl.org/dc/terms/" xmlns:xsi="http://www.w3.org/2001/XMLSchema-instance" xsi:type="dcterms:W3CDTF">2026-09-23T20:41:51Z</dcterms:modified>
</cp:coreProperties>
</file>