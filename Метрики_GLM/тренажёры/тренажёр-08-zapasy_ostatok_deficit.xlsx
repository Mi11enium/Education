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2" fontId="0" fillId="3" borderId="1" pivotButton="0" quotePrefix="0" xfId="0"/>
    <xf numFmtId="2" fontId="4" fillId="4" borderId="0" pivotButton="0" quotePrefix="0" xfId="0"/>
    <xf numFmtId="0" fontId="5" fillId="0" borderId="1" pivotButton="0" quotePrefix="0" xfId="0"/>
    <xf numFmtId="1" fontId="0" fillId="3" borderId="1" pivotButton="0" quotePrefix="0" xfId="0"/>
    <xf numFmtId="1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8. Страховой запас, ROP и OOS</t>
        </is>
      </c>
    </row>
    <row r="3">
      <c r="A3" s="2" t="inlineStr">
        <is>
          <t>Контекст</t>
        </is>
      </c>
    </row>
    <row r="4">
      <c r="A4" s="3" t="inlineStr">
        <is>
          <t>Продажи SKU 6,67 шт/день.</t>
        </is>
      </c>
    </row>
    <row r="6">
      <c r="A6" s="2" t="inlineStr">
        <is>
          <t>Параметры</t>
        </is>
      </c>
    </row>
    <row r="7">
      <c r="A7" s="4" t="inlineStr">
        <is>
          <t>Показатель</t>
        </is>
      </c>
      <c r="B7" s="4" t="inlineStr">
        <is>
          <t>Значение</t>
        </is>
      </c>
    </row>
    <row r="8">
      <c r="A8" s="5" t="inlineStr">
        <is>
          <t>Продажи в день, шт</t>
        </is>
      </c>
      <c r="B8" s="5" t="n">
        <v>6.67</v>
      </c>
    </row>
    <row r="9">
      <c r="A9" s="5" t="inlineStr">
        <is>
          <t>Срок поставки, дн</t>
        </is>
      </c>
      <c r="B9" s="5" t="n">
        <v>14</v>
      </c>
    </row>
    <row r="10">
      <c r="A10" s="5" t="inlineStr">
        <is>
          <t>Страховые дни</t>
        </is>
      </c>
      <c r="B10" s="5" t="n">
        <v>7</v>
      </c>
    </row>
    <row r="11">
      <c r="A11" s="5" t="inlineStr">
        <is>
          <t>Дней цикла закупки</t>
        </is>
      </c>
      <c r="B11" s="5" t="n">
        <v>30</v>
      </c>
    </row>
    <row r="12">
      <c r="A12" s="5" t="inlineStr">
        <is>
          <t>Дней с нулевым остатком за месяц</t>
        </is>
      </c>
      <c r="B12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Страховой запас = продажи/день × страховые дни (шт).
Подсказка: 6,67 × 7.</t>
        </is>
      </c>
      <c r="C4" s="7" t="n"/>
      <c r="D4" s="8" t="n">
        <v>46.69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Точка дозаказа ROP = продажи/день × срок поставки + страховой (шт).
Подсказка: 6,67 × 14 + 46,7 ≈ 140.</t>
        </is>
      </c>
      <c r="C5" s="10" t="n"/>
      <c r="D5" s="11" t="n">
        <v>140.07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Размер заказа на цикл 30 дней (шт), продажи/день × 30.
Подсказка: 6,67 × 30 ≈ 200.</t>
        </is>
      </c>
      <c r="C6" s="10" t="n"/>
      <c r="D6" s="11" t="n">
        <v>200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OOS% за месяц (дни нуля / 30 × 100%).
Подсказка: 1 / 30 × 100.</t>
        </is>
      </c>
      <c r="C7" s="7" t="n"/>
      <c r="D7" s="8" t="n">
        <v>3.33</v>
      </c>
      <c r="E7" s="9">
        <f>IF(C7="","",IF(ABS(C7-D7)&lt;=0.05+ABS(D7)*0.001,"OK Верно","X Пересчитай"))</f>
        <v/>
      </c>
    </row>
    <row r="8" ht="32" customHeight="1">
      <c r="A8" s="5" t="n">
        <v>5</v>
      </c>
      <c r="B8" s="6" t="inlineStr">
        <is>
          <t>OOS% 3,33% — выше нормы &lt;2%? (да 0 / нет 1)
Подсказка: 3,33 &gt; 2 → «да» → 0.</t>
        </is>
      </c>
      <c r="C8" s="10" t="n"/>
      <c r="D8" s="11" t="n">
        <v>0</v>
      </c>
      <c r="E8" s="9">
        <f>IF(C8="","",IF(ABS(C8-D8)&lt;=0.05+ABS(D8)*0.001,"OK Верно","X Пересчитай"))</f>
        <v/>
      </c>
    </row>
    <row r="10">
      <c r="B10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Страховой запас</t>
        </is>
      </c>
      <c r="B4" s="6">
        <f> продажи/день × страховые дни.</f>
        <v/>
      </c>
    </row>
    <row r="5">
      <c r="A5" s="5" t="inlineStr">
        <is>
          <t>ROP</t>
        </is>
      </c>
      <c r="B5" s="6">
        <f> продажи/день × срок поставки + страховой запас.</f>
        <v/>
      </c>
    </row>
    <row r="6">
      <c r="A6" s="5" t="inlineStr">
        <is>
          <t>OOS %</t>
        </is>
      </c>
      <c r="B6" s="6">
        <f> дни с нулём / дни × 100%; цель &lt; 2%.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2026-09-23T20:51:03Z</dcterms:created>
  <dcterms:modified xmlns:dcterms="http://purl.org/dc/terms/" xmlns:xsi="http://www.w3.org/2001/XMLSchema-instance" xsi:type="dcterms:W3CDTF">2026-09-23T20:51:03Z</dcterms:modified>
</cp:coreProperties>
</file>