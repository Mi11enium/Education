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  <sz val="11"/>
    </font>
    <font>
      <b val="1"/>
      <color rgb="008EA9DB"/>
    </font>
    <font>
      <b val="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2" fontId="0" fillId="3" borderId="1" pivotButton="0" quotePrefix="0" xfId="0"/>
    <xf numFmtId="2" fontId="4" fillId="4" borderId="0" pivotButton="0" quotePrefix="0" xfId="0"/>
    <xf numFmtId="0" fontId="5" fillId="0" borderId="1" pivotButton="0" quotePrefix="0" xfId="0"/>
    <xf numFmtId="1" fontId="0" fillId="3" borderId="1" pivotButton="0" quotePrefix="0" xfId="0"/>
    <xf numFmtId="1" fontId="4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Тренажёр к уроку 7. Оборачиваемость и дни запаса</t>
        </is>
      </c>
    </row>
    <row r="3">
      <c r="A3" s="2" t="inlineStr">
        <is>
          <t>Контекст</t>
        </is>
      </c>
    </row>
    <row r="4">
      <c r="A4" s="3" t="inlineStr">
        <is>
          <t>Месячный цикл закупки-продажи.</t>
        </is>
      </c>
    </row>
    <row r="6">
      <c r="A6" s="2" t="inlineStr">
        <is>
          <t>Данные месяца</t>
        </is>
      </c>
    </row>
    <row r="7">
      <c r="A7" s="4" t="inlineStr">
        <is>
          <t>Показатель</t>
        </is>
      </c>
      <c r="B7" s="4" t="inlineStr">
        <is>
          <t>Значение</t>
        </is>
      </c>
    </row>
    <row r="8">
      <c r="A8" s="5" t="inlineStr">
        <is>
          <t>Продано шт за месяц</t>
        </is>
      </c>
      <c r="B8" s="5" t="n">
        <v>200</v>
      </c>
    </row>
    <row r="9">
      <c r="A9" s="5" t="inlineStr">
        <is>
          <t>Средний запас шт (30 дней)</t>
        </is>
      </c>
      <c r="B9" s="5" t="n">
        <v>100</v>
      </c>
    </row>
    <row r="10">
      <c r="A10" s="5" t="inlineStr">
        <is>
          <t>Дней в месяце</t>
        </is>
      </c>
      <c r="B10" s="5" t="n">
        <v>30</v>
      </c>
    </row>
    <row r="11">
      <c r="A11" s="5" t="inlineStr">
        <is>
          <t>Средняя цена, ₽</t>
        </is>
      </c>
      <c r="B11" s="5" t="n">
        <v>2350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Впишите свой ответ в жёлтую ячейку. Столбец «Статус» проверит вас автоматически.</t>
        </is>
      </c>
    </row>
    <row r="3">
      <c r="A3" s="4" t="inlineStr">
        <is>
          <t>№</t>
        </is>
      </c>
      <c r="B3" s="4" t="inlineStr">
        <is>
          <t>Задание</t>
        </is>
      </c>
      <c r="C3" s="4" t="inlineStr">
        <is>
          <t>Ваш ответ</t>
        </is>
      </c>
      <c r="D3" s="4" t="inlineStr">
        <is>
          <t>Правильный ответ (не подглядывать!)</t>
        </is>
      </c>
      <c r="E3" s="4" t="inlineStr">
        <is>
          <t>Статус</t>
        </is>
      </c>
    </row>
    <row r="4" ht="32" customHeight="1">
      <c r="A4" s="5" t="n">
        <v>1</v>
      </c>
      <c r="B4" s="6" t="inlineStr">
        <is>
          <t>Рассчитайте оборачиваемость (число оборотов/мес): продажи ÷ средний запас.
Подсказка: 200 / 100 = 2 оборота.</t>
        </is>
      </c>
      <c r="C4" s="7" t="n"/>
      <c r="D4" s="8" t="n">
        <v>2</v>
      </c>
      <c r="E4" s="9">
        <f>IF(C4="","",IF(ABS(C4-D4)&lt;=0.05+ABS(D4)*0.001,"OK Верно","X Пересчитай"))</f>
        <v/>
      </c>
    </row>
    <row r="5" ht="32" customHeight="1">
      <c r="A5" s="5" t="n">
        <v>2</v>
      </c>
      <c r="B5" s="6" t="inlineStr">
        <is>
          <t>Рассчитайте продажи в день (шт).
Подсказка: 200 / 30.</t>
        </is>
      </c>
      <c r="C5" s="7" t="n"/>
      <c r="D5" s="8" t="n">
        <v>6.67</v>
      </c>
      <c r="E5" s="9">
        <f>IF(C5="","",IF(ABS(C5-D5)&lt;=0.05+ABS(D5)*0.001,"OK Верно","X Пересчитай"))</f>
        <v/>
      </c>
    </row>
    <row r="6" ht="32" customHeight="1">
      <c r="A6" s="5" t="n">
        <v>3</v>
      </c>
      <c r="B6" s="6" t="inlineStr">
        <is>
          <t>Допустим, запас сейчас 300 шт. Сколько это «дней запаса» (300 ÷ продажи/день)?
Подсказка: 300 / 6,67.</t>
        </is>
      </c>
      <c r="C6" s="10" t="n"/>
      <c r="D6" s="11" t="n">
        <v>45</v>
      </c>
      <c r="E6" s="9">
        <f>IF(C6="","",IF(ABS(C6-D6)&lt;=0.05+ABS(D6)*0.001,"OK Верно","X Пересчитай"))</f>
        <v/>
      </c>
    </row>
    <row r="7" ht="32" customHeight="1">
      <c r="A7" s="5" t="n">
        <v>4</v>
      </c>
      <c r="B7" s="6" t="inlineStr">
        <is>
          <t>Дни запаса 45 — в норме, дефицит или «лёжа-товар»? (0 — дефицит &lt;15, 1 — рабочая зона 30–60, 2 — «лёжа» &gt;90)
Подсказка: 30–60 → рабочая зона → 1.</t>
        </is>
      </c>
      <c r="C7" s="10" t="n"/>
      <c r="D7" s="11" t="n">
        <v>1</v>
      </c>
      <c r="E7" s="9">
        <f>IF(C7="","",IF(ABS(C7-D7)&lt;=0.05+ABS(D7)*0.001,"OK Верно","X Пересчитай"))</f>
        <v/>
      </c>
    </row>
    <row r="8" ht="32" customHeight="1">
      <c r="A8" s="5" t="n">
        <v>5</v>
      </c>
      <c r="B8" s="6" t="inlineStr">
        <is>
          <t>Рассчитайте выручку месяца по средней цене (шт × 2350 ₽).
Подсказка: 200 × 2350.</t>
        </is>
      </c>
      <c r="C8" s="10" t="n"/>
      <c r="D8" s="11" t="n">
        <v>470000</v>
      </c>
      <c r="E8" s="9">
        <f>IF(C8="","",IF(ABS(C8-D8)&lt;=0.05+ABS(D8)*0.001,"OK Верно","X Пересчитай"))</f>
        <v/>
      </c>
    </row>
    <row r="10">
      <c r="B10" s="12" t="inlineStr">
        <is>
          <t>Правильный ответ в столбце D подкрашен бледным фоном — сначала решите сами.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1" t="inlineStr">
        <is>
          <t>Краткая шпаргалка по формулам этого урока</t>
        </is>
      </c>
    </row>
    <row r="3">
      <c r="A3" s="4" t="inlineStr">
        <is>
          <t>Метрика</t>
        </is>
      </c>
      <c r="B3" s="4" t="inlineStr">
        <is>
          <t>Формула</t>
        </is>
      </c>
    </row>
    <row r="4">
      <c r="A4" s="5" t="inlineStr">
        <is>
          <t>Оборачиваемость</t>
        </is>
      </c>
      <c r="B4" s="6">
        <f> продажи ÷ средний запас.</f>
        <v/>
      </c>
    </row>
    <row r="5">
      <c r="A5" s="5" t="inlineStr">
        <is>
          <t>Скорость/день</t>
        </is>
      </c>
      <c r="B5" s="6">
        <f> продажи ÷ дни.</f>
        <v/>
      </c>
    </row>
    <row r="6">
      <c r="A6" s="5" t="inlineStr">
        <is>
          <t>Дни запаса</t>
        </is>
      </c>
      <c r="B6" s="6">
        <f> запас ÷ продажи/день.</f>
        <v/>
      </c>
    </row>
    <row r="7">
      <c r="A7" s="5" t="inlineStr">
        <is>
          <t>Зоны</t>
        </is>
      </c>
      <c r="B7" s="6" t="inlineStr">
        <is>
          <t>&lt;15 дн — риск дефицита; 30–60 — норма; &gt;90 — распродажа.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2026-09-23T20:51:03Z</dcterms:created>
  <dcterms:modified xmlns:dcterms="http://purl.org/dc/terms/" xmlns:xsi="http://www.w3.org/2001/XMLSchema-instance" xsi:type="dcterms:W3CDTF">2026-09-23T20:51:03Z</dcterms:modified>
</cp:coreProperties>
</file>