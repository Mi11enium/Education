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17. План и факт</t>
        </is>
      </c>
    </row>
    <row r="3">
      <c r="A3" s="2" t="inlineStr">
        <is>
          <t>Контекст</t>
        </is>
      </c>
    </row>
    <row r="4">
      <c r="A4" s="3" t="inlineStr">
        <is>
          <t>План месяца — 200 заказов.</t>
        </is>
      </c>
    </row>
    <row r="6">
      <c r="A6" s="2" t="inlineStr">
        <is>
          <t>Мониторинговые точки</t>
        </is>
      </c>
    </row>
    <row r="7">
      <c r="A7" s="4" t="inlineStr">
        <is>
          <t>День месяца</t>
        </is>
      </c>
      <c r="B7" s="4" t="inlineStr">
        <is>
          <t>Продаж накоплено</t>
        </is>
      </c>
      <c r="C7" s="4" t="inlineStr">
        <is>
          <t>Отмены</t>
        </is>
      </c>
    </row>
    <row r="8">
      <c r="A8" s="5" t="inlineStr">
        <is>
          <t>День 10</t>
        </is>
      </c>
      <c r="B8" s="5" t="n">
        <v>70</v>
      </c>
      <c r="C8" s="5" t="n">
        <v>3</v>
      </c>
    </row>
    <row r="9">
      <c r="A9" s="5" t="inlineStr">
        <is>
          <t>День 15</t>
        </is>
      </c>
      <c r="B9" s="5" t="n">
        <v>100</v>
      </c>
      <c r="C9" s="5" t="n">
        <v>5</v>
      </c>
    </row>
    <row r="10">
      <c r="A10" s="5" t="inlineStr">
        <is>
          <t>День 25</t>
        </is>
      </c>
      <c r="B10" s="5" t="n">
        <v>190</v>
      </c>
      <c r="C10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Прогноз на конец месяца по данным дня 15 (шт).
Подсказка: 100 / 15 × 30.</t>
        </is>
      </c>
      <c r="C4" s="7" t="n"/>
      <c r="D4" s="8" t="n">
        <v>200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Прогноз по данным дня 10 (шт).
Подсказка: 70 / 10 × 30.</t>
        </is>
      </c>
      <c r="C5" s="7" t="n"/>
      <c r="D5" s="8" t="n">
        <v>210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Доля отмен по данным дня 15 (в %).
Подсказка: 5 / 105 (заказов всего 100+5?) — упрощаем: 5 / 106 × 100 = 4,72%. Принимается расчёт 5/105 или 5/(100+5) — в пределах допуска.</t>
        </is>
      </c>
      <c r="C6" s="10" t="n"/>
      <c r="D6" s="11" t="n">
        <v>4.72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Выполнение плана по факту дня 25 (190 / 200 × 100, %).
Подсказка: 95%.</t>
        </is>
      </c>
      <c r="C7" s="10" t="n"/>
      <c r="D7" s="11" t="n">
        <v>95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95% факта — в каком коридоре по таблице решений? (0 — &lt;80%, 1 — 90–110%, 2 — &gt;120%)
Подсказка: 90–110% → «в проекте» → 1.</t>
        </is>
      </c>
      <c r="C8" s="7" t="n"/>
      <c r="D8" s="8" t="n">
        <v>1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Выполнение плана</t>
        </is>
      </c>
      <c r="B4" s="6">
        <f> факт / план × 100%.</f>
        <v/>
      </c>
    </row>
    <row r="5">
      <c r="A5" s="5" t="inlineStr">
        <is>
          <t>Прогноз месяца</t>
        </is>
      </c>
      <c r="B5" s="6">
        <f> продажи / N дней × дни месяца.</f>
        <v/>
      </c>
    </row>
    <row r="6">
      <c r="A6" s="5" t="inlineStr">
        <is>
          <t>Доля отмен</t>
        </is>
      </c>
      <c r="B6" s="6">
        <f> отмены / заказы × 100% (норма &lt; 3%).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2026-09-23T20:51:04Z</dcterms:created>
  <dcterms:modified xmlns:dcterms="http://purl.org/dc/terms/" xmlns:xsi="http://www.w3.org/2001/XMLSchema-instance" xsi:type="dcterms:W3CDTF">2026-09-23T20:51:04Z</dcterms:modified>
</cp:coreProperties>
</file>