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b val="1"/>
      <color rgb="008EA9DB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" fontId="0" fillId="3" borderId="1" pivotButton="0" quotePrefix="0" xfId="0"/>
    <xf numFmtId="1" fontId="4" fillId="4" borderId="0" pivotButton="0" quotePrefix="0" xfId="0"/>
    <xf numFmtId="0" fontId="5" fillId="0" borderId="1" pivotButton="0" quotePrefix="0" xfId="0"/>
    <xf numFmtId="2" fontId="0" fillId="3" borderId="1" pivotButton="0" quotePrefix="0" xfId="0"/>
    <xf numFmtId="2" fontId="4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Тренажёр к уроку 9. Возвраты и их причины</t>
        </is>
      </c>
    </row>
    <row r="3">
      <c r="A3" s="2" t="inlineStr">
        <is>
          <t>Контекст</t>
        </is>
      </c>
    </row>
    <row r="4">
      <c r="A4" s="3" t="inlineStr">
        <is>
          <t>200 заказов за месяц, экономика единицы — прибыль 780,5 ₽.</t>
        </is>
      </c>
    </row>
    <row r="6">
      <c r="A6" s="2" t="inlineStr">
        <is>
          <t>Возвраты за месяц</t>
        </is>
      </c>
    </row>
    <row r="7">
      <c r="A7" s="4" t="inlineStr">
        <is>
          <t>Причина</t>
        </is>
      </c>
      <c r="B7" s="4" t="inlineStr">
        <is>
          <t>Шт</t>
        </is>
      </c>
    </row>
    <row r="8">
      <c r="A8" s="5" t="inlineStr">
        <is>
          <t>Не подошёл размер</t>
        </is>
      </c>
      <c r="B8" s="5" t="n">
        <v>8</v>
      </c>
    </row>
    <row r="9">
      <c r="A9" s="5" t="inlineStr">
        <is>
          <t>Цвет не тот</t>
        </is>
      </c>
      <c r="B9" s="5" t="n">
        <v>5</v>
      </c>
    </row>
    <row r="10">
      <c r="A10" s="5" t="inlineStr">
        <is>
          <t>Не то, что на фото</t>
        </is>
      </c>
      <c r="B10" s="5" t="n">
        <v>3</v>
      </c>
    </row>
    <row r="11">
      <c r="A11" s="5" t="inlineStr">
        <is>
          <t>Брак</t>
        </is>
      </c>
      <c r="B11" s="5" t="n">
        <v>2</v>
      </c>
    </row>
    <row r="12">
      <c r="A12" s="5" t="inlineStr">
        <is>
          <t>Передумал</t>
        </is>
      </c>
      <c r="B12" s="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Впишите свой ответ в жёлтую ячейку. Столбец «Статус» проверит вас автоматически.</t>
        </is>
      </c>
    </row>
    <row r="3">
      <c r="A3" s="4" t="inlineStr">
        <is>
          <t>№</t>
        </is>
      </c>
      <c r="B3" s="4" t="inlineStr">
        <is>
          <t>Задание</t>
        </is>
      </c>
      <c r="C3" s="4" t="inlineStr">
        <is>
          <t>Ваш ответ</t>
        </is>
      </c>
      <c r="D3" s="4" t="inlineStr">
        <is>
          <t>Правильный ответ (не подглядывать!)</t>
        </is>
      </c>
      <c r="E3" s="4" t="inlineStr">
        <is>
          <t>Статус</t>
        </is>
      </c>
    </row>
    <row r="4" ht="32" customHeight="1">
      <c r="A4" s="5" t="n">
        <v>1</v>
      </c>
      <c r="B4" s="6" t="inlineStr">
        <is>
          <t>Всего возвратов (шт).
Подсказка: 8+5+3+2+4.</t>
        </is>
      </c>
      <c r="C4" s="7" t="n"/>
      <c r="D4" s="8" t="n">
        <v>22</v>
      </c>
      <c r="E4" s="9">
        <f>IF(C4="","",IF(ABS(C4-D4)&lt;=0.05+ABS(D4)*0.001,"OK Верно","X Пересчитай"))</f>
        <v/>
      </c>
    </row>
    <row r="5" ht="32" customHeight="1">
      <c r="A5" s="5" t="n">
        <v>2</v>
      </c>
      <c r="B5" s="6" t="inlineStr">
        <is>
          <t>Процент возвратов (возвраты / заказы × 100).
Подсказка: 22 / 200 × 100.</t>
        </is>
      </c>
      <c r="C5" s="10" t="n"/>
      <c r="D5" s="11" t="n">
        <v>11</v>
      </c>
      <c r="E5" s="9">
        <f>IF(C5="","",IF(ABS(C5-D5)&lt;=0.05+ABS(D5)*0.001,"OK Верно","X Пересчитай"))</f>
        <v/>
      </c>
    </row>
    <row r="6" ht="32" customHeight="1">
      <c r="A6" s="5" t="n">
        <v>3</v>
      </c>
      <c r="B6" s="6" t="inlineStr">
        <is>
          <t>Доля причины «размер» среди возвратов в %.
Подсказка: 8 / 22 × 100.</t>
        </is>
      </c>
      <c r="C6" s="10" t="n"/>
      <c r="D6" s="11" t="n">
        <v>36.36</v>
      </c>
      <c r="E6" s="9">
        <f>IF(C6="","",IF(ABS(C6-D6)&lt;=0.05+ABS(D6)*0.001,"OK Верно","X Пересчитай"))</f>
        <v/>
      </c>
    </row>
    <row r="7" ht="32" customHeight="1">
      <c r="A7" s="5" t="n">
        <v>4</v>
      </c>
      <c r="B7" s="6" t="inlineStr">
        <is>
          <t>Стоимость одного возврата 200 ₽. Потеря на возвратах за месяц (₽).
Подсказка: 22 × 200.</t>
        </is>
      </c>
      <c r="C7" s="7" t="n"/>
      <c r="D7" s="8" t="n">
        <v>4400</v>
      </c>
      <c r="E7" s="9">
        <f>IF(C7="","",IF(ABS(C7-D7)&lt;=0.05+ABS(D7)*0.001,"OK Верно","X Пересчитай"))</f>
        <v/>
      </c>
    </row>
    <row r="8" ht="32" customHeight="1">
      <c r="A8" s="5" t="n">
        <v>5</v>
      </c>
      <c r="B8" s="6" t="inlineStr">
        <is>
          <t>Порог возвратов, при котором они съедят всю прибыль/шт 780,5 ₽, — сколько возвратов в месяц (780,5 ÷ 200)? С учётом 200 продаж — это сколько %.
Подсказка: 3,9 шт → 3,9/200 = 1,95% от заказов. Критическая доля возвратов ≈ 2%. В клетку пишем: 390 — это 195%… нет: введите долю процента возвратов — критическая 1,95 ≈ 2 → впишите 2.</t>
        </is>
      </c>
      <c r="C8" s="10" t="n"/>
      <c r="D8" s="11" t="n">
        <v>390</v>
      </c>
      <c r="E8" s="9">
        <f>IF(C8="","",IF(ABS(C8-D8)&lt;=0.05+ABS(D8)*0.001,"OK Верно","X Пересчитай"))</f>
        <v/>
      </c>
    </row>
    <row r="10">
      <c r="B10" s="12" t="inlineStr">
        <is>
          <t>Правильный ответ в столбце D подкрашен бледным фоном — сначала решите сами.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Краткая шпаргалка по формулам этого урока</t>
        </is>
      </c>
    </row>
    <row r="3">
      <c r="A3" s="4" t="inlineStr">
        <is>
          <t>Метрика</t>
        </is>
      </c>
      <c r="B3" s="4" t="inlineStr">
        <is>
          <t>Формула</t>
        </is>
      </c>
    </row>
    <row r="4">
      <c r="A4" s="5" t="inlineStr">
        <is>
          <t>% возвратов</t>
        </is>
      </c>
      <c r="B4" s="6">
        <f> возвраты / заказы × 100%.</f>
        <v/>
      </c>
    </row>
    <row r="5">
      <c r="A5" s="5" t="inlineStr">
        <is>
          <t>Норма по категориям</t>
        </is>
      </c>
      <c r="B5" s="6" t="inlineStr">
        <is>
          <t>одежда 15–30%, дом 3–8%, &gt;12% — проблемно.</t>
        </is>
      </c>
    </row>
    <row r="6">
      <c r="A6" s="5" t="inlineStr">
        <is>
          <t>Стоимость возврата</t>
        </is>
      </c>
      <c r="B6" s="6" t="inlineStr">
        <is>
          <t>с логистикой по обе стороны: 150–250 ₽.</t>
        </is>
      </c>
    </row>
    <row r="7">
      <c r="A7" s="5" t="inlineStr">
        <is>
          <t>Приоритет</t>
        </is>
      </c>
      <c r="B7" s="6" t="inlineStr">
        <is>
          <t>наибольшая причина = первое задание.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2026-09-23T20:51:03Z</dcterms:created>
  <dcterms:modified xmlns:dcterms="http://purl.org/dc/terms/" xmlns:xsi="http://www.w3.org/2001/XMLSchema-instance" xsi:type="dcterms:W3CDTF">2026-09-23T20:51:03Z</dcterms:modified>
</cp:coreProperties>
</file>