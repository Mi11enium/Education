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15. WoW, MoM, YoY и сезонный коэффициент</t>
        </is>
      </c>
    </row>
    <row r="3">
      <c r="A3" s="2" t="inlineStr">
        <is>
          <t>Контекст</t>
        </is>
      </c>
    </row>
    <row r="4">
      <c r="A4" s="3" t="inlineStr">
        <is>
          <t>Данные по продажам.</t>
        </is>
      </c>
    </row>
    <row r="6">
      <c r="A6" s="2" t="inlineStr">
        <is>
          <t>Недели</t>
        </is>
      </c>
    </row>
    <row r="7">
      <c r="A7" s="4" t="inlineStr">
        <is>
          <t>Неделя</t>
        </is>
      </c>
      <c r="B7" s="4" t="inlineStr">
        <is>
          <t>Заказы</t>
        </is>
      </c>
    </row>
    <row r="8">
      <c r="A8" s="5" t="inlineStr">
        <is>
          <t>Неделя 1</t>
        </is>
      </c>
      <c r="B8" s="5" t="n">
        <v>44</v>
      </c>
    </row>
    <row r="9">
      <c r="A9" s="5" t="inlineStr">
        <is>
          <t>Неделя 2</t>
        </is>
      </c>
      <c r="B9" s="5" t="n">
        <v>52</v>
      </c>
    </row>
    <row r="10">
      <c r="A10" s="5" t="inlineStr">
        <is>
          <t>Неделя 3</t>
        </is>
      </c>
      <c r="B10" s="5" t="n">
        <v>41</v>
      </c>
    </row>
    <row r="11">
      <c r="A11" s="5" t="inlineStr">
        <is>
          <t>Неделя 4</t>
        </is>
      </c>
      <c r="B11" s="5" t="n">
        <v>63</v>
      </c>
    </row>
    <row r="14">
      <c r="A14" s="2" t="inlineStr">
        <is>
          <t>Сезонность 2025</t>
        </is>
      </c>
    </row>
    <row r="15">
      <c r="A15" s="4" t="inlineStr">
        <is>
          <t>Месяц</t>
        </is>
      </c>
      <c r="B15" s="4" t="inlineStr">
        <is>
          <t>Продажи шт</t>
        </is>
      </c>
      <c r="C15" s="4" t="inlineStr">
        <is>
          <t>Сез. коэф.</t>
        </is>
      </c>
    </row>
    <row r="16">
      <c r="A16" s="5" t="inlineStr">
        <is>
          <t>Среднемесячные продажи года</t>
        </is>
      </c>
      <c r="B16" s="5" t="n">
        <v>150</v>
      </c>
      <c r="C16" s="5" t="n">
        <v>1</v>
      </c>
    </row>
    <row r="17">
      <c r="A17" s="5" t="inlineStr">
        <is>
          <t>Октябрь 2025</t>
        </is>
      </c>
      <c r="B17" s="5" t="n">
        <v>225</v>
      </c>
      <c r="C17" s="5" t="n">
        <v>1.5</v>
      </c>
    </row>
    <row r="18">
      <c r="A18" s="5" t="inlineStr">
        <is>
          <t>Январь 2025</t>
        </is>
      </c>
      <c r="B18" s="5" t="n">
        <v>105</v>
      </c>
      <c r="C18" s="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WoW %: неделя 2 к неделе 1 ((52−44)/44 × 100).
Подсказка: (52−44)/44 × 100.</t>
        </is>
      </c>
      <c r="C4" s="7" t="n"/>
      <c r="D4" s="8" t="n">
        <v>18.18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WoW %: неделя 4 к неделе 3.
Подсказка: (63−41)/41 × 100.</t>
        </is>
      </c>
      <c r="C5" s="7" t="n"/>
      <c r="D5" s="8" t="n">
        <v>53.66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Сезонный коэффициент января (105 ÷ 150).
Подсказка: 105 / 150.</t>
        </is>
      </c>
      <c r="C6" s="7" t="n"/>
      <c r="D6" s="8" t="n">
        <v>0.7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План октября 2026, если средний месяц плаха 180 шт: 180 × 1,5 (шт).
Подсказка: 180 × 1,5 = 270.</t>
        </is>
      </c>
      <c r="C7" s="10" t="n"/>
      <c r="D7" s="11" t="n">
        <v>270</v>
      </c>
      <c r="E7" s="9">
        <f>IF(C7="","",IF(ABS(C7-D7)&lt;=0.05+ABS(D7)*0.001,"OK Верно","X Пересчитай"))</f>
        <v/>
      </c>
    </row>
    <row r="9">
      <c r="B9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WoW</t>
        </is>
      </c>
      <c r="B4" s="6">
        <f> (нед N − нед N−1) / нед N−1 × 100%.</f>
        <v/>
      </c>
    </row>
    <row r="5">
      <c r="A5" s="5" t="inlineStr">
        <is>
          <t>Сез. коэффициент</t>
        </is>
      </c>
      <c r="B5" s="6">
        <f> продажи месяца ÷ среднемесячные.</f>
        <v/>
      </c>
    </row>
    <row r="6">
      <c r="A6" s="5" t="inlineStr">
        <is>
          <t>План сезонного месяца</t>
        </is>
      </c>
      <c r="B6" s="6">
        <f> средняя база × коэф. этого месяца в прошлом году.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2026-09-23T20:51:04Z</dcterms:created>
  <dcterms:modified xmlns:dcterms="http://purl.org/dc/terms/" xmlns:xsi="http://www.w3.org/2001/XMLSchema-instance" xsi:type="dcterms:W3CDTF">2026-09-23T20:51:04Z</dcterms:modified>
</cp:coreProperties>
</file>