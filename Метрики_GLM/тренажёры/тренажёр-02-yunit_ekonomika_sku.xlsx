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2" fontId="0" fillId="3" borderId="1" pivotButton="0" quotePrefix="0" xfId="0"/>
    <xf numFmtId="2" fontId="4" fillId="4" borderId="0" pivotButton="0" quotePrefix="0" xfId="0"/>
    <xf numFmtId="0" fontId="5" fillId="0" borderId="1" pivotButton="0" quotePrefix="0" xfId="0"/>
    <xf numFmtId="1" fontId="0" fillId="3" borderId="1" pivotButton="0" quotePrefix="0" xfId="0"/>
    <xf numFmtId="1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2. Юнит-экономика единицы товара</t>
        </is>
      </c>
    </row>
    <row r="3">
      <c r="A3" s="2" t="inlineStr">
        <is>
          <t>Контекст</t>
        </is>
      </c>
    </row>
    <row r="4">
      <c r="A4" s="3" t="inlineStr">
        <is>
          <t>Исходные данные сквозного примера.</t>
        </is>
      </c>
    </row>
    <row r="6">
      <c r="A6" s="2" t="inlineStr">
        <is>
          <t>Экономика SKU «Комплект 2-сп сатин»</t>
        </is>
      </c>
    </row>
    <row r="7">
      <c r="A7" s="4" t="inlineStr">
        <is>
          <t>Показатель</t>
        </is>
      </c>
      <c r="B7" s="4" t="inlineStr">
        <is>
          <t>Значение</t>
        </is>
      </c>
    </row>
    <row r="8">
      <c r="A8" s="5" t="inlineStr">
        <is>
          <t>Цена, ₽</t>
        </is>
      </c>
      <c r="B8" s="5" t="n">
        <v>2350</v>
      </c>
    </row>
    <row r="9">
      <c r="A9" s="5" t="inlineStr">
        <is>
          <t>Комиссия категории, %</t>
        </is>
      </c>
      <c r="B9" s="5" t="inlineStr">
        <is>
          <t>15%</t>
        </is>
      </c>
    </row>
    <row r="10">
      <c r="A10" s="5" t="inlineStr">
        <is>
          <t>Логистика, ₽/шт</t>
        </is>
      </c>
      <c r="B10" s="5" t="n">
        <v>75</v>
      </c>
    </row>
    <row r="11">
      <c r="A11" s="5" t="inlineStr">
        <is>
          <t>Хранение, ₽/шт</t>
        </is>
      </c>
      <c r="B11" s="5" t="n">
        <v>12</v>
      </c>
    </row>
    <row r="12">
      <c r="A12" s="5" t="inlineStr">
        <is>
          <t>Себестоимость, ₽/шт</t>
        </is>
      </c>
      <c r="B12" s="5" t="n">
        <v>950</v>
      </c>
    </row>
    <row r="13">
      <c r="A13" s="5" t="inlineStr">
        <is>
          <t>Реклама, ₽/шт</t>
        </is>
      </c>
      <c r="B13" s="5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Рассчитайте комиссию в ₽ (цена × 15%).
Подсказка: 2350 × 0,15 = 352,5 ₽.</t>
        </is>
      </c>
      <c r="C4" s="7" t="n"/>
      <c r="D4" s="8" t="n">
        <v>352.5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Рассчитайте маржу до вычитания рекламы (₽).
Подсказка: 2350 − 352,5 − 75 − 12 − 950 = 960,5 ₽.</t>
        </is>
      </c>
      <c r="C5" s="7" t="n"/>
      <c r="D5" s="8" t="n">
        <v>960.5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Рассчитайте прибыль на единицу после рекламы (₽).
Подсказка: 960,5 − 180 = 780,5 ₽.</t>
        </is>
      </c>
      <c r="C6" s="7" t="n"/>
      <c r="D6" s="8" t="n">
        <v>780.5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Рассчитайте маржинальность в % (прибыль / цена × 100).
Подсказка: 780,5 / 2350 × 100 = 33,2%.</t>
        </is>
      </c>
      <c r="C7" s="7" t="n"/>
      <c r="D7" s="8" t="n">
        <v>33.21</v>
      </c>
      <c r="E7" s="9">
        <f>IF(C7="","",IF(ABS(C7-D7)&lt;=0.05+ABS(D7)*0.001,"OK Верно","X Пересчитай"))</f>
        <v/>
      </c>
    </row>
    <row r="8" ht="32" customHeight="1">
      <c r="A8" s="5" t="n">
        <v>5</v>
      </c>
      <c r="B8" s="6" t="inlineStr">
        <is>
          <t>Маржинальность 0–10% — идти в этот товар? (да = 0, нет = 1; по данной таблице порогов)
Подсказка: 0–10% — «идти нельзя» → ответ 1 (нет).</t>
        </is>
      </c>
      <c r="C8" s="10" t="n"/>
      <c r="D8" s="11" t="n">
        <v>1</v>
      </c>
      <c r="E8" s="9">
        <f>IF(C8="","",IF(ABS(C8-D8)&lt;=0.05+ABS(D8)*0.001,"OK Верно","X Пересчитай"))</f>
        <v/>
      </c>
    </row>
    <row r="10">
      <c r="B10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Комиссия, ₽</t>
        </is>
      </c>
      <c r="B4" s="6">
        <f> цена × % комиссии.</f>
        <v/>
      </c>
    </row>
    <row r="5">
      <c r="A5" s="5" t="inlineStr">
        <is>
          <t>Маржа до рекламы</t>
        </is>
      </c>
      <c r="B5" s="6">
        <f> цена − комиссия − логистика − хранение − себестоимость.</f>
        <v/>
      </c>
    </row>
    <row r="6">
      <c r="A6" s="5" t="inlineStr">
        <is>
          <t>Прибыль/шт</t>
        </is>
      </c>
      <c r="B6" s="6">
        <f> маржа до рекламы − реклама/шт.</f>
        <v/>
      </c>
    </row>
    <row r="7">
      <c r="A7" s="5" t="inlineStr">
        <is>
          <t>Маржинальность</t>
        </is>
      </c>
      <c r="B7" s="6">
        <f> прибыль/шт ÷ цена × 100%.</f>
        <v/>
      </c>
    </row>
    <row r="8">
      <c r="A8" s="5" t="inlineStr">
        <is>
          <t>Порог решения</t>
        </is>
      </c>
      <c r="B8" s="6" t="inlineStr">
        <is>
          <t>Маржинальность &lt; 10% → товар не растёт экономикой.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2026-09-23T20:51:03Z</dcterms:created>
  <dcterms:modified xmlns:dcterms="http://purl.org/dc/terms/" xmlns:xsi="http://www.w3.org/2001/XMLSchema-instance" xsi:type="dcterms:W3CDTF">2026-09-23T20:51:03Z</dcterms:modified>
</cp:coreProperties>
</file>