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" fontId="0" fillId="3" borderId="1" pivotButton="0" quotePrefix="0" xfId="0"/>
    <xf numFmtId="1" fontId="4" fillId="4" borderId="0" pivotButton="0" quotePrefix="0" xfId="0"/>
    <xf numFmtId="0" fontId="5" fillId="0" borderId="1" pivotButton="0" quotePrefix="0" xfId="0"/>
    <xf numFmtId="2" fontId="0" fillId="3" borderId="1" pivotButton="0" quotePrefix="0" xfId="0"/>
    <xf numFmtId="2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19. Кеш-цикл и рабочий капитал</t>
        </is>
      </c>
    </row>
    <row r="3">
      <c r="A3" s="2" t="inlineStr">
        <is>
          <t>Контекст</t>
        </is>
      </c>
    </row>
    <row r="4">
      <c r="A4" s="3" t="inlineStr">
        <is>
          <t>Данные по SKU.</t>
        </is>
      </c>
    </row>
    <row r="6">
      <c r="A6" s="2" t="inlineStr">
        <is>
          <t>Данные</t>
        </is>
      </c>
    </row>
    <row r="7">
      <c r="A7" s="4" t="inlineStr">
        <is>
          <t>Показатель</t>
        </is>
      </c>
      <c r="B7" s="4" t="inlineStr">
        <is>
          <t>Значение</t>
        </is>
      </c>
    </row>
    <row r="8">
      <c r="A8" s="5" t="inlineStr">
        <is>
          <t>Дни запаса</t>
        </is>
      </c>
      <c r="B8" s="5" t="n">
        <v>45</v>
      </c>
    </row>
    <row r="9">
      <c r="A9" s="5" t="inlineStr">
        <is>
          <t>Средняя задержка выплаты, дн</t>
        </is>
      </c>
      <c r="B9" s="5" t="n">
        <v>12</v>
      </c>
    </row>
    <row r="10">
      <c r="A10" s="5" t="inlineStr">
        <is>
          <t>Отсрочка поставщика, дн</t>
        </is>
      </c>
      <c r="B10" s="5" t="n">
        <v>30</v>
      </c>
    </row>
    <row r="11">
      <c r="A11" s="5" t="inlineStr">
        <is>
          <t>Запас на складе, ₽</t>
        </is>
      </c>
      <c r="B11" s="5" t="n">
        <v>320000</v>
      </c>
    </row>
    <row r="12">
      <c r="A12" s="5" t="inlineStr">
        <is>
          <t>Средняя выручка месяца, ₽</t>
        </is>
      </c>
      <c r="B12" s="5" t="n">
        <v>235000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Кеш-цикл (дни запаса + задержка − отсрочка), дн.
Подсказка: 45 + 12 − 30.</t>
        </is>
      </c>
      <c r="C4" s="7" t="n"/>
      <c r="D4" s="8" t="n">
        <v>27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Доля запаса в выручке месяца в %.
Подсказка: 320 000 / 235 000 × 100.</t>
        </is>
      </c>
      <c r="C5" s="10" t="n"/>
      <c r="D5" s="11" t="n">
        <v>136.17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Доля 136% — выше норм коридора &lt;150%? (да 0 / нет 1)
Подсказка: 136,2 &lt; 150 → в норме → 1... но коридор урока — «&gt;150 — много денег в стоках». Ответ: 1 (нет).</t>
        </is>
      </c>
      <c r="C6" s="7" t="n"/>
      <c r="D6" s="8" t="n">
        <v>1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Сколько месяцев выручки «сидит» в запасе (320 000 / 235 000)?
Подсказка: 1,36 месяца.</t>
        </is>
      </c>
      <c r="C7" s="10" t="n"/>
      <c r="D7" s="11" t="n">
        <v>1.36</v>
      </c>
      <c r="E7" s="9">
        <f>IF(C7="","",IF(ABS(C7-D7)&lt;=0.05+ABS(D7)*0.001,"OK Верно","X Пересчитай"))</f>
        <v/>
      </c>
    </row>
    <row r="9">
      <c r="B9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Кеш-цикл</t>
        </is>
      </c>
      <c r="B4" s="6">
        <f> дни запаса + дни выплаты − отсрочка.</f>
        <v/>
      </c>
    </row>
    <row r="5">
      <c r="A5" s="5" t="inlineStr">
        <is>
          <t>Рабочий капитал</t>
        </is>
      </c>
      <c r="B5" s="6">
        <f> запас + в пути + баланс − долги.</f>
        <v/>
      </c>
    </row>
    <row r="6">
      <c r="A6" s="5" t="inlineStr">
        <is>
          <t>Доля запаса</t>
        </is>
      </c>
      <c r="B6" s="6">
        <f> запас ₽ / месячная выручка × 100% (коридор 50–150%).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2026-09-23T20:51:04Z</dcterms:created>
  <dcterms:modified xmlns:dcterms="http://purl.org/dc/terms/" xmlns:xsi="http://www.w3.org/2001/XMLSchema-instance" xsi:type="dcterms:W3CDTF">2026-09-23T20:51:04Z</dcterms:modified>
</cp:coreProperties>
</file>