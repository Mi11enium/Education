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12. Эффективная комиссия и схемы FBO/FBS</t>
        </is>
      </c>
    </row>
    <row r="3">
      <c r="A3" s="2" t="inlineStr">
        <is>
          <t>Контекст</t>
        </is>
      </c>
    </row>
    <row r="4">
      <c r="A4" s="3" t="inlineStr">
        <is>
          <t>Цена 2350 ₽; комиссия 15% (352,5 ₽); логистика 75 ₽; хранение 12 ₽; вычеты 20 ₽/шт.</t>
        </is>
      </c>
    </row>
    <row r="6">
      <c r="A6" s="2" t="inlineStr">
        <is>
          <t>Данные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Цена, ₽</t>
        </is>
      </c>
      <c r="B8" s="5" t="n">
        <v>2350</v>
      </c>
    </row>
    <row r="9">
      <c r="A9" s="5" t="inlineStr">
        <is>
          <t>Комиссия, ₽</t>
        </is>
      </c>
      <c r="B9" s="5" t="n">
        <v>352.5</v>
      </c>
    </row>
    <row r="10">
      <c r="A10" s="5" t="inlineStr">
        <is>
          <t>Логистика, ₽</t>
        </is>
      </c>
      <c r="B10" s="5" t="n">
        <v>75</v>
      </c>
    </row>
    <row r="11">
      <c r="A11" s="5" t="inlineStr">
        <is>
          <t>Хранение, ₽</t>
        </is>
      </c>
      <c r="B11" s="5" t="n">
        <v>12</v>
      </c>
    </row>
    <row r="12">
      <c r="A12" s="5" t="inlineStr">
        <is>
          <t>Штрафы/вычеты на шт, ₽</t>
        </is>
      </c>
      <c r="B12" s="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Эффективная комиссия в % = (352,5 + 75 + 12 + 20) / 2350 × 100.
Подсказка: 459,5 / 2350 × 100.</t>
        </is>
      </c>
      <c r="C4" s="7" t="n"/>
      <c r="D4" s="8" t="n">
        <v>19.55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Эффективная комиссия выше номинальных 15%? (да 0 / нет 1)
Подсказка: 19,55% &gt; 15% → да → 0.</t>
        </is>
      </c>
      <c r="C5" s="10" t="n"/>
      <c r="D5" s="11" t="n">
        <v>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FBS дешевле на 25 ₽/шт по логистике. Новая эффективная комиссия в %?
Подсказка: 434,5 / 2350 × 100.</t>
        </is>
      </c>
      <c r="C6" s="7" t="n"/>
      <c r="D6" s="8" t="n">
        <v>18.49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Старая маржа до рекламы 960,5 ₽, реклама 180 ₽. При переходе на FBS (+25 ₽/шт) новая прибыль/шт (₽)?
Подсказка: 960,5 − 180 + 25 = 805,5.</t>
        </is>
      </c>
      <c r="C7" s="7" t="n"/>
      <c r="D7" s="8" t="n">
        <v>805.5</v>
      </c>
      <c r="E7" s="9">
        <f>IF(C7="","",IF(ABS(C7-D7)&lt;=0.05+ABS(D7)*0.001,"OK Верно","X Пересчитай"))</f>
        <v/>
      </c>
    </row>
    <row r="9">
      <c r="B9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Эффективная комиссия</t>
        </is>
      </c>
      <c r="B4" s="6">
        <f> (комиссия + логистика + хранение + вычеты) / цена × 100%.</f>
        <v/>
      </c>
    </row>
    <row r="5">
      <c r="A5" s="5" t="inlineStr">
        <is>
          <t>FBO vs FBS</t>
        </is>
      </c>
      <c r="B5" s="6" t="inlineStr">
        <is>
          <t>считать дельту прибыли/шт по фактическим цифрам.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