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овия" sheetId="1" state="visible" r:id="rId1"/>
    <sheet xmlns:r="http://schemas.openxmlformats.org/officeDocument/2006/relationships" name="Задания" sheetId="2" state="visible" r:id="rId2"/>
    <sheet xmlns:r="http://schemas.openxmlformats.org/officeDocument/2006/relationships" name="Справ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  <sz val="11"/>
    </font>
    <font>
      <b val="1"/>
      <color rgb="008EA9DB"/>
    </font>
    <font>
      <b val="1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" fontId="0" fillId="3" borderId="1" pivotButton="0" quotePrefix="0" xfId="0"/>
    <xf numFmtId="1" fontId="4" fillId="4" borderId="0" pivotButton="0" quotePrefix="0" xfId="0"/>
    <xf numFmtId="0" fontId="5" fillId="0" borderId="1" pivotButton="0" quotePrefix="0" xfId="0"/>
    <xf numFmtId="2" fontId="0" fillId="3" borderId="1" pivotButton="0" quotePrefix="0" xfId="0"/>
    <xf numFmtId="2" fontId="4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Тренажёр к уроку 11. Скидки и цена</t>
        </is>
      </c>
    </row>
    <row r="3">
      <c r="A3" s="2" t="inlineStr">
        <is>
          <t>Контекст</t>
        </is>
      </c>
    </row>
    <row r="4">
      <c r="A4" s="3" t="inlineStr">
        <is>
          <t>Цена 2350 ₽, маржа после рекламы 780,5 ₽, порядок цен в шеренге — см. предыдущие уроки.</t>
        </is>
      </c>
    </row>
    <row r="6">
      <c r="A6" s="2" t="inlineStr">
        <is>
          <t>Сценарии скидок</t>
        </is>
      </c>
    </row>
    <row r="7">
      <c r="A7" s="4" t="inlineStr">
        <is>
          <t>Сценарий</t>
        </is>
      </c>
      <c r="B7" s="4" t="inlineStr">
        <is>
          <t>% скидки</t>
        </is>
      </c>
      <c r="C7" s="4" t="inlineStr">
        <is>
          <t>Скидка, ₽</t>
        </is>
      </c>
    </row>
    <row r="8">
      <c r="A8" s="5" t="inlineStr">
        <is>
          <t>A — «мягкое стимулирование»</t>
        </is>
      </c>
      <c r="B8" s="5" t="n">
        <v>5</v>
      </c>
      <c r="C8" s="5" t="n">
        <v>117.5</v>
      </c>
    </row>
    <row r="9">
      <c r="A9" s="5" t="inlineStr">
        <is>
          <t>B — «промо-неделя»</t>
        </is>
      </c>
      <c r="B9" s="5" t="n">
        <v>12</v>
      </c>
      <c r="C9" s="5" t="n">
        <v>282</v>
      </c>
    </row>
    <row r="10">
      <c r="A10" s="5" t="inlineStr">
        <is>
          <t>C — «распродажа»</t>
        </is>
      </c>
      <c r="B10" s="5" t="n">
        <v>25</v>
      </c>
      <c r="C10" s="5" t="n">
        <v>587.5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" customWidth="1" min="1" max="1"/>
    <col width="8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Впишите свой ответ в жёлтую ячейку. Столбец «Статус» проверит вас автоматически.</t>
        </is>
      </c>
    </row>
    <row r="3">
      <c r="A3" s="4" t="inlineStr">
        <is>
          <t>№</t>
        </is>
      </c>
      <c r="B3" s="4" t="inlineStr">
        <is>
          <t>Задание</t>
        </is>
      </c>
      <c r="C3" s="4" t="inlineStr">
        <is>
          <t>Ваш ответ</t>
        </is>
      </c>
      <c r="D3" s="4" t="inlineStr">
        <is>
          <t>Правильный ответ (не подглядывать!)</t>
        </is>
      </c>
      <c r="E3" s="4" t="inlineStr">
        <is>
          <t>Статус</t>
        </is>
      </c>
    </row>
    <row r="4" ht="32" customHeight="1">
      <c r="A4" s="5" t="n">
        <v>1</v>
      </c>
      <c r="B4" s="6" t="inlineStr">
        <is>
          <t>Скидка B в ₽ от цены 2350 при 12% — уже подставлено. Проверьте: при скидке 12% сколько составит новая цена (₽)?
Подсказка: 2350 − 282 = 2068.</t>
        </is>
      </c>
      <c r="C4" s="7" t="n"/>
      <c r="D4" s="8" t="n">
        <v>2068</v>
      </c>
      <c r="E4" s="9">
        <f>IF(C4="","",IF(ABS(C4-D4)&lt;=0.05+ABS(D4)*0.001,"OK Верно","X Пересчитай"))</f>
        <v/>
      </c>
    </row>
    <row r="5" ht="32" customHeight="1">
      <c r="A5" s="5" t="n">
        <v>2</v>
      </c>
      <c r="B5" s="6" t="inlineStr">
        <is>
          <t>Съеле скидки B в % (282 / 780,5 × 100).
Подсказка: 282 / 780,5 × 100.</t>
        </is>
      </c>
      <c r="C5" s="10" t="n"/>
      <c r="D5" s="11" t="n">
        <v>36.13</v>
      </c>
      <c r="E5" s="9">
        <f>IF(C5="","",IF(ABS(C5-D5)&lt;=0.05+ABS(D5)*0.001,"OK Верно","X Пересчитай"))</f>
        <v/>
      </c>
    </row>
    <row r="6" ht="32" customHeight="1">
      <c r="A6" s="5" t="n">
        <v>3</v>
      </c>
      <c r="B6" s="6" t="inlineStr">
        <is>
          <t>Какая доля маржи «съестся» скидкой C — 25%? (587,5 / 780,5 × 100).
Подсказка: 587,5 / 780,5 × 100.</t>
        </is>
      </c>
      <c r="C6" s="10" t="n"/>
      <c r="D6" s="11" t="n">
        <v>75.23999999999999</v>
      </c>
      <c r="E6" s="9">
        <f>IF(C6="","",IF(ABS(C6-D6)&lt;=0.05+ABS(D6)*0.001,"OK Верно","X Пересчитай"))</f>
        <v/>
      </c>
    </row>
    <row r="7" ht="32" customHeight="1">
      <c r="A7" s="5" t="n">
        <v>4</v>
      </c>
      <c r="B7" s="6" t="inlineStr">
        <is>
          <t>Съеле &gt; 60% — перл урезанья съедания: идти в сценарий C с такой маржой? (да 0 / нет 1)
Подсказка: Съедено 75% маржи → «нет» → 1.</t>
        </is>
      </c>
      <c r="C7" s="7" t="n"/>
      <c r="D7" s="8" t="n">
        <v>1</v>
      </c>
      <c r="E7" s="9">
        <f>IF(C7="","",IF(ABS(C7-D7)&lt;=0.05+ABS(D7)*0.001,"OK Верно","X Пересчитай"))</f>
        <v/>
      </c>
    </row>
    <row r="8" ht="32" customHeight="1">
      <c r="A8" s="5" t="n">
        <v>5</v>
      </c>
      <c r="B8" s="6" t="inlineStr">
        <is>
          <t>Доля продаж «по скидке» за месяц у SKU = 55%. Это в норме или нет? (в норме 0 / нет 1)
Подсказка: &gt; 50% → скидочная зависимость → 1.</t>
        </is>
      </c>
      <c r="C8" s="7" t="n"/>
      <c r="D8" s="8" t="n">
        <v>1</v>
      </c>
      <c r="E8" s="9">
        <f>IF(C8="","",IF(ABS(C8-D8)&lt;=0.05+ABS(D8)*0.001,"OK Верно","X Пересчитай"))</f>
        <v/>
      </c>
    </row>
    <row r="10">
      <c r="B10" s="12" t="inlineStr">
        <is>
          <t>Правильный ответ в столбце D подкрашен бледным фоном — сначала решите сами.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s="1" t="inlineStr">
        <is>
          <t>Краткая шпаргалка по формулам этого урока</t>
        </is>
      </c>
    </row>
    <row r="3">
      <c r="A3" s="4" t="inlineStr">
        <is>
          <t>Метрика</t>
        </is>
      </c>
      <c r="B3" s="4" t="inlineStr">
        <is>
          <t>Формула</t>
        </is>
      </c>
    </row>
    <row r="4">
      <c r="A4" s="5" t="inlineStr">
        <is>
          <t>Скидка ₽</t>
        </is>
      </c>
      <c r="B4" s="6">
        <f> цена × % скидки.</f>
        <v/>
      </c>
    </row>
    <row r="5">
      <c r="A5" s="5" t="inlineStr">
        <is>
          <t>Съеле маржи</t>
        </is>
      </c>
      <c r="B5" s="6">
        <f> скидка ₽ / маржа ₽ × 100% (&gt; 60% — не идти).</f>
        <v/>
      </c>
    </row>
    <row r="6">
      <c r="A6" s="5" t="inlineStr">
        <is>
          <t>Скидочная доля</t>
        </is>
      </c>
      <c r="B6" s="6">
        <f> продажи со скидкой / все продажи × 100% (≤ 50%).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2026-09-23T20:51:03Z</dcterms:created>
  <dcterms:modified xmlns:dcterms="http://purl.org/dc/terms/" xmlns:xsi="http://www.w3.org/2001/XMLSchema-instance" xsi:type="dcterms:W3CDTF">2026-09-23T20:51:03Z</dcterms:modified>
</cp:coreProperties>
</file>