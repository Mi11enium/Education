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Условия" sheetId="1" state="visible" r:id="rId1"/>
    <sheet xmlns:r="http://schemas.openxmlformats.org/officeDocument/2006/relationships" name="Задания" sheetId="2" state="visible" r:id="rId2"/>
    <sheet xmlns:r="http://schemas.openxmlformats.org/officeDocument/2006/relationships" name="Справка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color rgb="001F3864"/>
      <sz val="14"/>
    </font>
    <font>
      <b val="1"/>
      <color rgb="001F3864"/>
      <sz val="12"/>
    </font>
    <font>
      <b val="1"/>
      <color rgb="00FFFFFF"/>
      <sz val="11"/>
    </font>
    <font>
      <b val="1"/>
      <color rgb="008EA9DB"/>
    </font>
    <font>
      <b val="1"/>
    </font>
    <font>
      <i val="1"/>
      <color rgb="00808080"/>
      <sz val="9"/>
    </font>
  </fonts>
  <fills count="5">
    <fill>
      <patternFill/>
    </fill>
    <fill>
      <patternFill patternType="gray125"/>
    </fill>
    <fill>
      <patternFill patternType="solid">
        <fgColor rgb="002F5597"/>
      </patternFill>
    </fill>
    <fill>
      <patternFill patternType="solid">
        <fgColor rgb="00FFF2CC"/>
      </patternFill>
    </fill>
    <fill>
      <patternFill patternType="solid">
        <fgColor rgb="00D9E1F2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0" fillId="0" borderId="0" applyAlignment="1" pivotButton="0" quotePrefix="0" xfId="0">
      <alignment vertical="top" wrapText="1"/>
    </xf>
    <xf numFmtId="0" fontId="3" fillId="2" borderId="1" applyAlignment="1" pivotButton="0" quotePrefix="0" xfId="0">
      <alignment horizontal="center" vertical="center"/>
    </xf>
    <xf numFmtId="0" fontId="0" fillId="0" borderId="1" pivotButton="0" quotePrefix="0" xfId="0"/>
    <xf numFmtId="0" fontId="0" fillId="0" borderId="1" applyAlignment="1" pivotButton="0" quotePrefix="0" xfId="0">
      <alignment vertical="top" wrapText="1"/>
    </xf>
    <xf numFmtId="2" fontId="0" fillId="3" borderId="1" pivotButton="0" quotePrefix="0" xfId="0"/>
    <xf numFmtId="2" fontId="4" fillId="4" borderId="0" pivotButton="0" quotePrefix="0" xfId="0"/>
    <xf numFmtId="0" fontId="5" fillId="0" borderId="1" pivotButton="0" quotePrefix="0" xfId="0"/>
    <xf numFmtId="1" fontId="0" fillId="3" borderId="1" pivotButton="0" quotePrefix="0" xfId="0"/>
    <xf numFmtId="1" fontId="4" fillId="4" borderId="0" pivotButton="0" quotePrefix="0" xfId="0"/>
    <xf numFmtId="0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46" customWidth="1" min="1" max="1"/>
    <col width="17" customWidth="1" min="2" max="2"/>
    <col width="17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7" customWidth="1" min="9" max="9"/>
    <col width="17" customWidth="1" min="10" max="10"/>
    <col width="17" customWidth="1" min="11" max="11"/>
  </cols>
  <sheetData>
    <row r="1">
      <c r="A1" s="1" t="inlineStr">
        <is>
          <t>Тренажёр к уроку 3. CTR, конверсия в корзину, конверсия в заказ</t>
        </is>
      </c>
    </row>
    <row r="3">
      <c r="A3" s="2" t="inlineStr">
        <is>
          <t>Контекст</t>
        </is>
      </c>
    </row>
    <row r="4">
      <c r="A4" s="3" t="inlineStr">
        <is>
          <t>Статистика показов карточки за 7 дней.</t>
        </is>
      </c>
    </row>
    <row r="6">
      <c r="A6" s="2" t="inlineStr">
        <is>
          <t>Воронка за 7 дней</t>
        </is>
      </c>
    </row>
    <row r="7">
      <c r="A7" s="4" t="inlineStr">
        <is>
          <t>Событие</t>
        </is>
      </c>
      <c r="B7" s="4" t="inlineStr">
        <is>
          <t>Число</t>
        </is>
      </c>
    </row>
    <row r="8">
      <c r="A8" s="5" t="inlineStr">
        <is>
          <t>Показы в поиске/рекомендациях</t>
        </is>
      </c>
      <c r="B8" s="5" t="n">
        <v>48000</v>
      </c>
    </row>
    <row r="9">
      <c r="A9" s="5" t="inlineStr">
        <is>
          <t>Клики по карточке</t>
        </is>
      </c>
      <c r="B9" s="5" t="n">
        <v>1440</v>
      </c>
    </row>
    <row r="10">
      <c r="A10" s="5" t="inlineStr">
        <is>
          <t>Добавили в корзину</t>
        </is>
      </c>
      <c r="B10" s="5" t="n">
        <v>202</v>
      </c>
    </row>
    <row r="11">
      <c r="A11" s="5" t="inlineStr">
        <is>
          <t>Оформили заказ</t>
        </is>
      </c>
      <c r="B11" s="5" t="n">
        <v>86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4" customWidth="1" min="1" max="1"/>
    <col width="85" customWidth="1" min="2" max="2"/>
    <col width="15" customWidth="1" min="3" max="3"/>
    <col width="15" customWidth="1" min="4" max="4"/>
    <col width="15" customWidth="1" min="5" max="5"/>
  </cols>
  <sheetData>
    <row r="1">
      <c r="A1" s="1" t="inlineStr">
        <is>
          <t>Впишите свой ответ в жёлтую ячейку. Столбец «Статус» проверит вас автоматически.</t>
        </is>
      </c>
    </row>
    <row r="3">
      <c r="A3" s="4" t="inlineStr">
        <is>
          <t>№</t>
        </is>
      </c>
      <c r="B3" s="4" t="inlineStr">
        <is>
          <t>Задание</t>
        </is>
      </c>
      <c r="C3" s="4" t="inlineStr">
        <is>
          <t>Ваш ответ</t>
        </is>
      </c>
      <c r="D3" s="4" t="inlineStr">
        <is>
          <t>Правильный ответ (не подглядывать!)</t>
        </is>
      </c>
      <c r="E3" s="4" t="inlineStr">
        <is>
          <t>Статус</t>
        </is>
      </c>
    </row>
    <row r="4" ht="32" customHeight="1">
      <c r="A4" s="5" t="n">
        <v>1</v>
      </c>
      <c r="B4" s="6" t="inlineStr">
        <is>
          <t>Рассчитайте CTR в %: клики / показы × 100.
Подсказка: 1440 / 48000 × 100.</t>
        </is>
      </c>
      <c r="C4" s="7" t="n"/>
      <c r="D4" s="8" t="n">
        <v>3</v>
      </c>
      <c r="E4" s="9">
        <f>IF(C4="","",IF(ABS(C4-D4)&lt;=0.05+ABS(D4)*0.001,"OK Верно","X Пересчитай"))</f>
        <v/>
      </c>
    </row>
    <row r="5" ht="32" customHeight="1">
      <c r="A5" s="5" t="n">
        <v>2</v>
      </c>
      <c r="B5" s="6" t="inlineStr">
        <is>
          <t>Рассчитайте CBR в %: в корзину / клики × 100.
Подсказка: 202 / 1440 × 100.</t>
        </is>
      </c>
      <c r="C5" s="7" t="n"/>
      <c r="D5" s="8" t="n">
        <v>14.03</v>
      </c>
      <c r="E5" s="9">
        <f>IF(C5="","",IF(ABS(C5-D5)&lt;=0.05+ABS(D5)*0.001,"OK Верно","X Пересчитай"))</f>
        <v/>
      </c>
    </row>
    <row r="6" ht="32" customHeight="1">
      <c r="A6" s="5" t="n">
        <v>3</v>
      </c>
      <c r="B6" s="6" t="inlineStr">
        <is>
          <t>Рассчитайте CVR в %: заказы / клики × 100.
Подсказка: 86 / 1440 × 100.</t>
        </is>
      </c>
      <c r="C6" s="7" t="n"/>
      <c r="D6" s="8" t="n">
        <v>5.97</v>
      </c>
      <c r="E6" s="9">
        <f>IF(C6="","",IF(ABS(C6-D6)&lt;=0.05+ABS(D6)*0.001,"OK Верно","X Пересчитай"))</f>
        <v/>
      </c>
    </row>
    <row r="7" ht="32" customHeight="1">
      <c r="A7" s="5" t="n">
        <v>4</v>
      </c>
      <c r="B7" s="6" t="inlineStr">
        <is>
          <t>CTR = 3%. Для категории «дом/постельное» это ниже, в норме или выше? (введите число: 0 — ниже нормы, 1 — в норме, 2 — выше)
Подсказка: Норма 3–6% → 3%, это нижняя граница нормы → ответ 1.</t>
        </is>
      </c>
      <c r="C7" s="10" t="n"/>
      <c r="D7" s="11" t="n">
        <v>1</v>
      </c>
      <c r="E7" s="9">
        <f>IF(C7="","",IF(ABS(C7-D7)&lt;=0.05+ABS(D7)*0.001,"OK Верно","X Пересчитай"))</f>
        <v/>
      </c>
    </row>
    <row r="8" ht="32" customHeight="1">
      <c r="A8" s="5" t="n">
        <v>5</v>
      </c>
      <c r="B8" s="6" t="inlineStr">
        <is>
          <t>Дано: CTR в норме, CVR падает неделю. Первый шаг менеджера: менять обложку (0) или менять «внутрянку» карточки (1)?
Подсказка: CTR нормальный, значит проблема дальше воронки → сеть «внутрянка» → ответ 1.</t>
        </is>
      </c>
      <c r="C8" s="10" t="n"/>
      <c r="D8" s="11" t="n">
        <v>1</v>
      </c>
      <c r="E8" s="9">
        <f>IF(C8="","",IF(ABS(C8-D8)&lt;=0.05+ABS(D8)*0.001,"OK Верно","X Пересчитай"))</f>
        <v/>
      </c>
    </row>
    <row r="10">
      <c r="B10" s="12" t="inlineStr">
        <is>
          <t>Правильный ответ в столбце D подкрашен бледным фоном — сначала решите сами.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34" customWidth="1" min="1" max="1"/>
    <col width="72" customWidth="1" min="2" max="2"/>
  </cols>
  <sheetData>
    <row r="1">
      <c r="A1" s="1" t="inlineStr">
        <is>
          <t>Краткая шпаргалка по формулам этого урока</t>
        </is>
      </c>
    </row>
    <row r="3">
      <c r="A3" s="4" t="inlineStr">
        <is>
          <t>Метрика</t>
        </is>
      </c>
      <c r="B3" s="4" t="inlineStr">
        <is>
          <t>Формула</t>
        </is>
      </c>
    </row>
    <row r="4">
      <c r="A4" s="5" t="inlineStr">
        <is>
          <t>CTR</t>
        </is>
      </c>
      <c r="B4" s="6">
        <f> клики / показы × 100%.</f>
        <v/>
      </c>
    </row>
    <row r="5">
      <c r="A5" s="5" t="inlineStr">
        <is>
          <t>CBR (в корзину)</t>
        </is>
      </c>
      <c r="B5" s="6">
        <f> в корзину / клики × 100%.</f>
        <v/>
      </c>
    </row>
    <row r="6">
      <c r="A6" s="5" t="inlineStr">
        <is>
          <t>CVR (в заказ)</t>
        </is>
      </c>
      <c r="B6" s="6">
        <f> заказы / клики × 100%.</f>
        <v/>
      </c>
    </row>
    <row r="7">
      <c r="A7" s="5" t="inlineStr">
        <is>
          <t>CTR «дом/бельё»</t>
        </is>
      </c>
      <c r="B7" s="6" t="inlineStr">
        <is>
          <t>норма 3–6%.</t>
        </is>
      </c>
    </row>
    <row r="8">
      <c r="A8" s="5" t="inlineStr">
        <is>
          <t>CVR «дом/бельё»</t>
        </is>
      </c>
      <c r="B8" s="6" t="inlineStr">
        <is>
          <t>норма 4–10%.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2026-09-23T20:51:03Z</dcterms:created>
  <dcterms:modified xmlns:dcterms="http://purl.org/dc/terms/" xmlns:xsi="http://www.w3.org/2001/XMLSchema-instance" xsi:type="dcterms:W3CDTF">2026-09-23T20:51:03Z</dcterms:modified>
</cp:coreProperties>
</file>