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#,##0.0&quot; ₽&quot;"/>
    <numFmt numFmtId="166" formatCode="0.0&quot;%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0" fontId="6" fillId="0" borderId="1" applyAlignment="1" pivotButton="0" quotePrefix="0" xfId="0">
      <alignment vertical="top" wrapText="1"/>
    </xf>
    <xf numFmtId="2" fontId="0" fillId="3" borderId="1" pivotButton="0" quotePrefix="0" xfId="0"/>
    <xf numFmtId="2" fontId="5" fillId="4" borderId="1" pivotButton="0" quotePrefix="0" xfId="0"/>
    <xf numFmtId="166" fontId="0" fillId="3" borderId="1" pivotButton="0" quotePrefix="0" xfId="0"/>
    <xf numFmtId="166" fontId="5" fillId="4" borderId="1" pivotButton="0" quotePrefix="0" xfId="0"/>
    <xf numFmtId="3" fontId="0" fillId="3" borderId="1" pivotButton="0" quotePrefix="0" xfId="0"/>
    <xf numFmtId="3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</cols>
  <sheetData>
    <row r="1">
      <c r="A1" s="1" t="inlineStr">
        <is>
          <t>Урок 16: CPO и ROAS: отдача рекламных расходов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Реклама и заказы TRM-500 за 28 дней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  <c r="C7" s="4" t="inlineStr">
        <is>
          <t>Ед.</t>
        </is>
      </c>
    </row>
    <row r="8">
      <c r="A8" s="5" t="inlineStr">
        <is>
          <t>Расход на рекламу</t>
        </is>
      </c>
      <c r="B8" s="6" t="n">
        <v>27000</v>
      </c>
      <c r="C8" s="5" t="inlineStr">
        <is>
          <t>₽</t>
        </is>
      </c>
    </row>
    <row r="9">
      <c r="A9" s="5" t="inlineStr">
        <is>
          <t>Заказы из рекламы</t>
        </is>
      </c>
      <c r="B9" s="6" t="n">
        <v>126</v>
      </c>
      <c r="C9" s="5" t="inlineStr">
        <is>
          <t>шт</t>
        </is>
      </c>
    </row>
    <row r="10">
      <c r="A10" s="5" t="inlineStr">
        <is>
          <t>Выручка заказов из рекламы (атрибутированная)</t>
        </is>
      </c>
      <c r="B10" s="6" t="n">
        <v>220500</v>
      </c>
      <c r="C10" s="5" t="inlineStr">
        <is>
          <t>₽</t>
        </is>
      </c>
    </row>
    <row r="11">
      <c r="A11" s="5" t="inlineStr">
        <is>
          <t>Заказы всего</t>
        </is>
      </c>
      <c r="B11" s="6" t="n">
        <v>378</v>
      </c>
      <c r="C11" s="5" t="inlineStr">
        <is>
          <t>шт</t>
        </is>
      </c>
    </row>
    <row r="12">
      <c r="A12" s="5" t="inlineStr">
        <is>
          <t>Цена продажи за единицу (ASP)</t>
        </is>
      </c>
      <c r="B12" s="6" t="n">
        <v>1575</v>
      </c>
      <c r="C12" s="5" t="inlineStr">
        <is>
          <t>₽</t>
        </is>
      </c>
    </row>
    <row r="13">
      <c r="A13" s="5" t="inlineStr">
        <is>
          <t>Маржа до рекламы на единицу</t>
        </is>
      </c>
      <c r="B13" s="6" t="n">
        <v>428.75</v>
      </c>
      <c r="C13" s="5" t="inlineStr">
        <is>
          <t>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Стоимость заказа из рекламы (CPO), ₽ (один знак после запятой)</t>
        </is>
      </c>
      <c r="C2" s="9" t="n"/>
      <c r="D2" s="10" t="n">
        <v>214.3</v>
      </c>
      <c r="E2" s="7">
        <f>IF(C2="","",IF(ABS(C2-D2)&lt;=0.1,"OK Верно","X Пересчитай"))</f>
        <v/>
      </c>
      <c r="F2" s="11" t="inlineStr">
        <is>
          <t>27 000 ₽ ÷ 126 заказов = 214,29 ≈ 214,3 ₽ за заказ.</t>
        </is>
      </c>
    </row>
    <row r="3" ht="32" customHeight="1">
      <c r="A3" s="7" t="n">
        <v>2</v>
      </c>
      <c r="B3" s="8" t="inlineStr">
        <is>
          <t>ROAS кампании (два знака после запятой)</t>
        </is>
      </c>
      <c r="C3" s="12" t="n"/>
      <c r="D3" s="13" t="n">
        <v>8.17</v>
      </c>
      <c r="E3" s="7">
        <f>IF(C3="","",IF(ABS(C3-D3)&lt;=0.01,"OK Верно","X Пересчитай"))</f>
        <v/>
      </c>
      <c r="F3" s="11" t="inlineStr">
        <is>
          <t>220 500 ₽ ÷ 27 000 ₽ = 8,167 ≈ 8,17 ₽ выручки на 1 ₽ рекламы.</t>
        </is>
      </c>
    </row>
    <row r="4" ht="32" customHeight="1">
      <c r="A4" s="7" t="n">
        <v>3</v>
      </c>
      <c r="B4" s="8" t="inlineStr">
        <is>
          <t>Доля заказов из рекламы от всех заказов, % (один знак после запятой)</t>
        </is>
      </c>
      <c r="C4" s="14" t="n"/>
      <c r="D4" s="15" t="n">
        <v>33.3</v>
      </c>
      <c r="E4" s="7">
        <f>IF(C4="","",IF(ABS(C4-D4)&lt;=0.05,"OK Верно","X Пересчитай"))</f>
        <v/>
      </c>
      <c r="F4" s="11" t="inlineStr">
        <is>
          <t>126 ÷ 378 × 100% = 33,33% ≈ 33,3%.</t>
        </is>
      </c>
    </row>
    <row r="5" ht="32" customHeight="1">
      <c r="A5" s="7" t="n">
        <v>4</v>
      </c>
      <c r="B5" s="8" t="inlineStr">
        <is>
          <t>Безубыточный ROAS: при каком ROAS реклама работает в ноль (два знака после запятой)</t>
        </is>
      </c>
      <c r="C5" s="12" t="n"/>
      <c r="D5" s="13" t="n">
        <v>3.67</v>
      </c>
      <c r="E5" s="7">
        <f>IF(C5="","",IF(ABS(C5-D5)&lt;=0.01,"OK Верно","X Пересчитай"))</f>
        <v/>
      </c>
      <c r="F5" s="11" t="inlineStr">
        <is>
          <t>ASP ÷ маржа единицы = 1 575 ÷ 428,75 = 3,67. Выше — в плюс, ниже — в минус.</t>
        </is>
      </c>
    </row>
    <row r="6" ht="32" customHeight="1">
      <c r="A6" s="7" t="n">
        <v>5</v>
      </c>
      <c r="B6" s="8" t="inlineStr">
        <is>
          <t>Сколько заказов купит бюджет 27 000 ₽ при целевом CPO 300 ₽</t>
        </is>
      </c>
      <c r="C6" s="16" t="n"/>
      <c r="D6" s="17" t="n">
        <v>90</v>
      </c>
      <c r="E6" s="7">
        <f>IF(C6="","",IF(ABS(C6-D6)&lt;=0.5,"OK Верно","X Пересчитай"))</f>
        <v/>
      </c>
      <c r="F6" s="11" t="inlineStr">
        <is>
          <t>27 000 ÷ 300 = 90 заказов.</t>
        </is>
      </c>
    </row>
    <row r="8">
      <c r="A8" s="18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CPO</t>
        </is>
      </c>
      <c r="B2" s="8" t="inlineStr">
        <is>
          <t>расход на рекламу ÷ заказы из рекламы</t>
        </is>
      </c>
    </row>
    <row r="3">
      <c r="A3" s="8" t="inlineStr">
        <is>
          <t>ROAS</t>
        </is>
      </c>
      <c r="B3" s="8" t="inlineStr">
        <is>
          <t>атрибутированная выручка из рекламы ÷ расход на рекламу</t>
        </is>
      </c>
    </row>
    <row r="4">
      <c r="A4" s="8" t="inlineStr">
        <is>
          <t>Доля рекламных заказов</t>
        </is>
      </c>
      <c r="B4" s="8" t="inlineStr">
        <is>
          <t>заказы из рекламы ÷ все заказы × 100%</t>
        </is>
      </c>
    </row>
    <row r="5">
      <c r="A5" s="8" t="inlineStr">
        <is>
          <t>Безубыточный ROAS</t>
        </is>
      </c>
      <c r="B5" s="8" t="inlineStr">
        <is>
          <t>цена продажи единицы ÷ маржа на единицу</t>
        </is>
      </c>
    </row>
    <row r="6">
      <c r="A6" s="8" t="inlineStr">
        <is>
          <t>Заказы при целевом CPO</t>
        </is>
      </c>
      <c r="B6" s="8" t="inlineStr">
        <is>
          <t>бюджет ÷ целевой CPO</t>
        </is>
      </c>
    </row>
    <row r="7">
      <c r="A7" s="8" t="inlineStr">
        <is>
          <t>Золотое правило</t>
        </is>
      </c>
      <c r="B7" s="8" t="inlineStr">
        <is>
          <t>CPO должен быть меньше маржи на заказ (см. урок 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