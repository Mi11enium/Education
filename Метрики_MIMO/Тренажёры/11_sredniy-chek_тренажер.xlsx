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&quot; ₽&quot;"/>
    <numFmt numFmtId="166" formatCode="#,##0.0&quot; ₽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2" fontId="0" fillId="3" borderId="1" pivotButton="0" quotePrefix="0" xfId="0"/>
    <xf numFmtId="2" fontId="5" fillId="4" borderId="1" pivotButton="0" quotePrefix="0" xfId="0"/>
    <xf numFmtId="166" fontId="0" fillId="3" borderId="1" pivotButton="0" quotePrefix="0" xfId="0"/>
    <xf numFmtId="166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</cols>
  <sheetData>
    <row r="1">
      <c r="A1" s="1" t="inlineStr">
        <is>
          <t>Урок 11: Средний чек (AOV) и комплектность заказа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Выручка и заказы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  <c r="C7" s="4" t="inlineStr">
        <is>
          <t>Ед.</t>
        </is>
      </c>
    </row>
    <row r="8">
      <c r="A8" s="5" t="inlineStr">
        <is>
          <t>Выручка (GMV) за период</t>
        </is>
      </c>
      <c r="B8" s="6" t="n">
        <v>661500</v>
      </c>
      <c r="C8" s="5" t="inlineStr">
        <is>
          <t>₽</t>
        </is>
      </c>
    </row>
    <row r="9">
      <c r="A9" s="5" t="inlineStr">
        <is>
          <t>Заказы</t>
        </is>
      </c>
      <c r="B9" s="6" t="n">
        <v>378</v>
      </c>
      <c r="C9" s="5" t="inlineStr">
        <is>
          <t>шт</t>
        </is>
      </c>
    </row>
    <row r="10">
      <c r="A10" s="5" t="inlineStr">
        <is>
          <t>Продано единиц товара</t>
        </is>
      </c>
      <c r="B10" s="6" t="n">
        <v>420</v>
      </c>
      <c r="C10" s="5" t="inlineStr">
        <is>
          <t>шт</t>
        </is>
      </c>
    </row>
    <row r="11">
      <c r="A11" s="5" t="inlineStr">
        <is>
          <t>Средняя цена продажи за единицу (ASP)</t>
        </is>
      </c>
      <c r="B11" s="6" t="n">
        <v>1575</v>
      </c>
      <c r="C11" s="5" t="inlineStr">
        <is>
          <t>₽</t>
        </is>
      </c>
    </row>
    <row r="13">
      <c r="A13" s="3" t="inlineStr">
        <is>
          <t>Набор «2 шт −5%»</t>
        </is>
      </c>
    </row>
    <row r="14">
      <c r="A14" s="4" t="inlineStr">
        <is>
          <t>Параметр</t>
        </is>
      </c>
      <c r="B14" s="4" t="inlineStr">
        <is>
          <t>Значение</t>
        </is>
      </c>
    </row>
    <row r="15">
      <c r="A15" s="5" t="inlineStr">
        <is>
          <t>Цена одной штуки со скидкой, ₽</t>
        </is>
      </c>
      <c r="B15" s="6" t="n">
        <v>1575</v>
      </c>
    </row>
    <row r="16">
      <c r="A16" s="5" t="inlineStr">
        <is>
          <t>Скидка на набор из 2 штук, %</t>
        </is>
      </c>
      <c r="B16" s="6" t="n">
        <v>5</v>
      </c>
    </row>
    <row r="17">
      <c r="A17" s="5" t="inlineStr">
        <is>
          <t>Целевой средний чек после запуска наборов, ₽</t>
        </is>
      </c>
      <c r="B17" s="6" t="n">
        <v>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Средний чек (AOV) за период, ₽</t>
        </is>
      </c>
      <c r="C2" s="9" t="n"/>
      <c r="D2" s="10" t="n">
        <v>1750</v>
      </c>
      <c r="E2" s="7">
        <f>IF(C2="","",IF(ABS(C2-D2)&lt;=1,"OK Верно","X Пересчитай"))</f>
        <v/>
      </c>
      <c r="F2" s="11" t="inlineStr">
        <is>
          <t>661 500 ₽ ÷ 378 заказов = 1 750 ₽.</t>
        </is>
      </c>
    </row>
    <row r="3" ht="32" customHeight="1">
      <c r="A3" s="7" t="n">
        <v>2</v>
      </c>
      <c r="B3" s="8" t="inlineStr">
        <is>
          <t>Сколько единиц товара в среднем в одном заказе (два знака после запятой)</t>
        </is>
      </c>
      <c r="C3" s="12" t="n"/>
      <c r="D3" s="13" t="n">
        <v>1.11</v>
      </c>
      <c r="E3" s="7">
        <f>IF(C3="","",IF(ABS(C3-D3)&lt;=0.01,"OK Верно","X Пересчитай"))</f>
        <v/>
      </c>
      <c r="F3" s="11" t="inlineStr">
        <is>
          <t>420 единиц ÷ 378 заказов = 1,1111 ≈ 1,11 товара в заказе.</t>
        </is>
      </c>
    </row>
    <row r="4" ht="32" customHeight="1">
      <c r="A4" s="7" t="n">
        <v>3</v>
      </c>
      <c r="B4" s="8" t="inlineStr">
        <is>
          <t>Каким был бы средний чек, если бы в каждом заказе покупали 2 штуки, ₽</t>
        </is>
      </c>
      <c r="C4" s="9" t="n"/>
      <c r="D4" s="10" t="n">
        <v>3150</v>
      </c>
      <c r="E4" s="7">
        <f>IF(C4="","",IF(ABS(C4-D4)&lt;=1,"OK Верно","X Пересчитай"))</f>
        <v/>
      </c>
      <c r="F4" s="11" t="inlineStr">
        <is>
          <t>2 × 1 575 ₽ = 3 150 ₽ (без учёта скидок на набор).</t>
        </is>
      </c>
    </row>
    <row r="5" ht="32" customHeight="1">
      <c r="A5" s="7" t="n">
        <v>4</v>
      </c>
      <c r="B5" s="8" t="inlineStr">
        <is>
          <t>Цена набора из 2 штук со скидкой 5%, ₽ (один знак после запятой)</t>
        </is>
      </c>
      <c r="C5" s="14" t="n"/>
      <c r="D5" s="15" t="n">
        <v>2992.5</v>
      </c>
      <c r="E5" s="7">
        <f>IF(C5="","",IF(ABS(C5-D5)&lt;=0.5,"OK Верно","X Пересчитай"))</f>
        <v/>
      </c>
      <c r="F5" s="11" t="inlineStr">
        <is>
          <t>2 × 1 575 ₽ × 0,95 = 2 992,5 ₽ (скидка 5% на набор).</t>
        </is>
      </c>
    </row>
    <row r="6" ht="32" customHeight="1">
      <c r="A6" s="7" t="n">
        <v>5</v>
      </c>
      <c r="B6" s="8" t="inlineStr">
        <is>
          <t>На сколько вырастет выручка периода, если поднять средний чек с 1 750 ₽ до 1 925 ₽ (заказов столько же), ₽</t>
        </is>
      </c>
      <c r="C6" s="9" t="n"/>
      <c r="D6" s="10" t="n">
        <v>66150</v>
      </c>
      <c r="E6" s="7">
        <f>IF(C6="","",IF(ABS(C6-D6)&lt;=1,"OK Верно","X Пересчитай"))</f>
        <v/>
      </c>
      <c r="F6" s="11" t="inlineStr">
        <is>
          <t>378 заказов × (1 925 − 1 750) ₽ = 378 × 175 ₽ = 66 150 ₽.</t>
        </is>
      </c>
    </row>
    <row r="8">
      <c r="A8" s="16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Средний чек (AOV)</t>
        </is>
      </c>
      <c r="B2" s="8" t="inlineStr">
        <is>
          <t>выручка ÷ количество заказов</t>
        </is>
      </c>
    </row>
    <row r="3">
      <c r="A3" s="8" t="inlineStr">
        <is>
          <t>Товаров в заказе</t>
        </is>
      </c>
      <c r="B3" s="8" t="inlineStr">
        <is>
          <t>продано единиц ÷ количество заказов</t>
        </is>
      </c>
    </row>
    <row r="4">
      <c r="A4" s="8" t="inlineStr">
        <is>
          <t>Проверка AOV</t>
        </is>
      </c>
      <c r="B4" s="8" t="inlineStr">
        <is>
          <t>товаров в заказе × средняя цена продажи единицы (ASP)</t>
        </is>
      </c>
    </row>
    <row r="5">
      <c r="A5" s="8" t="inlineStr">
        <is>
          <t>Цена набора N шт</t>
        </is>
      </c>
      <c r="B5" s="8" t="inlineStr">
        <is>
          <t>N × цена штуки × (1 − скидка на набор)</t>
        </is>
      </c>
    </row>
    <row r="6">
      <c r="A6" s="8" t="inlineStr">
        <is>
          <t>Эффект роста AOV</t>
        </is>
      </c>
      <c r="B6" s="8" t="inlineStr">
        <is>
          <t>заказы × (новый AOV − старый AOV)</t>
        </is>
      </c>
    </row>
    <row r="7">
      <c r="A7" s="8" t="inlineStr">
        <is>
          <t>Выручка</t>
        </is>
      </c>
      <c r="B7" s="8" t="inlineStr">
        <is>
          <t>заказы × AOV = единицы × 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