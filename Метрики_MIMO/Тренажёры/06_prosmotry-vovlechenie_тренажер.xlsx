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3" fontId="0" fillId="3" borderId="1" pivotButton="0" quotePrefix="0" xfId="0"/>
    <xf numFmtId="3" fontId="5" fillId="4" borderId="1" pivotButton="0" quotePrefix="0" xfId="0"/>
    <xf numFmtId="0" fontId="6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Урок 6: Просмотры и вовлечённость на карточке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Глубина просмотра карточки (доли от 3 600 просмотров)</t>
        </is>
      </c>
    </row>
    <row r="7">
      <c r="A7" s="4" t="inlineStr">
        <is>
          <t>Событие на карточке</t>
        </is>
      </c>
      <c r="B7" s="4" t="inlineStr">
        <is>
          <t>Доля просмотров, %</t>
        </is>
      </c>
    </row>
    <row r="8">
      <c r="A8" s="5" t="inlineStr">
        <is>
          <t>Ушёл быстрее 10 секунд (мгновенный уход)</t>
        </is>
      </c>
      <c r="B8" s="6" t="n">
        <v>28</v>
      </c>
    </row>
    <row r="9">
      <c r="A9" s="5" t="inlineStr">
        <is>
          <t>Дошёл до блока «Характеристики»</t>
        </is>
      </c>
      <c r="B9" s="6" t="n">
        <v>62</v>
      </c>
    </row>
    <row r="10">
      <c r="A10" s="5" t="inlineStr">
        <is>
          <t>Дошёл до блока «Отзывы»</t>
        </is>
      </c>
      <c r="B10" s="6" t="n">
        <v>41</v>
      </c>
    </row>
    <row r="11">
      <c r="A11" s="5" t="inlineStr">
        <is>
          <t>Смотрел дольше 60 секунд</t>
        </is>
      </c>
      <c r="B11" s="6" t="n">
        <v>22</v>
      </c>
    </row>
    <row r="13">
      <c r="A13" s="3" t="inlineStr">
        <is>
          <t>Итоги периода</t>
        </is>
      </c>
    </row>
    <row r="14">
      <c r="A14" s="4" t="inlineStr">
        <is>
          <t>Показатель</t>
        </is>
      </c>
      <c r="B14" s="4" t="inlineStr">
        <is>
          <t>Значение</t>
        </is>
      </c>
    </row>
    <row r="15">
      <c r="A15" s="5" t="inlineStr">
        <is>
          <t>Просмотры карточки (клики из выдачи)</t>
        </is>
      </c>
      <c r="B15" s="7" t="n">
        <v>3600</v>
      </c>
    </row>
    <row r="16">
      <c r="A16" s="5" t="inlineStr">
        <is>
          <t>Заказы</t>
        </is>
      </c>
      <c r="B16" s="7" t="n">
        <v>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8" t="n">
        <v>1</v>
      </c>
      <c r="B2" s="9" t="inlineStr">
        <is>
          <t>Сколько просмотров дошло до блока «Характеристики»</t>
        </is>
      </c>
      <c r="C2" s="10" t="n"/>
      <c r="D2" s="11" t="n">
        <v>2232</v>
      </c>
      <c r="E2" s="8">
        <f>IF(C2="","",IF(ABS(C2-D2)&lt;=0.5,"OK Верно","X Пересчитай"))</f>
        <v/>
      </c>
      <c r="F2" s="12" t="inlineStr">
        <is>
          <t>3 600 × 62% = 2 232 просмотра.</t>
        </is>
      </c>
    </row>
    <row r="3" ht="32" customHeight="1">
      <c r="A3" s="8" t="n">
        <v>2</v>
      </c>
      <c r="B3" s="9" t="inlineStr">
        <is>
          <t>Сколько просмотров дошло до блока «Отзывы»</t>
        </is>
      </c>
      <c r="C3" s="10" t="n"/>
      <c r="D3" s="11" t="n">
        <v>1476</v>
      </c>
      <c r="E3" s="8">
        <f>IF(C3="","",IF(ABS(C3-D3)&lt;=0.5,"OK Верно","X Пересчитай"))</f>
        <v/>
      </c>
      <c r="F3" s="12" t="inlineStr">
        <is>
          <t>3 600 × 41% = 1 476 просмотров.</t>
        </is>
      </c>
    </row>
    <row r="4" ht="32" customHeight="1">
      <c r="A4" s="8" t="n">
        <v>3</v>
      </c>
      <c r="B4" s="9" t="inlineStr">
        <is>
          <t>Сколько было мгновенных уходов (быстрее 10 секунд)</t>
        </is>
      </c>
      <c r="C4" s="10" t="n"/>
      <c r="D4" s="11" t="n">
        <v>1008</v>
      </c>
      <c r="E4" s="8">
        <f>IF(C4="","",IF(ABS(C4-D4)&lt;=0.5,"OK Верно","X Пересчитай"))</f>
        <v/>
      </c>
      <c r="F4" s="12" t="inlineStr">
        <is>
          <t>3 600 × 28% = 1 008 уходов — потери первого экрана.</t>
        </is>
      </c>
    </row>
    <row r="5" ht="32" customHeight="1">
      <c r="A5" s="8" t="n">
        <v>4</v>
      </c>
      <c r="B5" s="9" t="inlineStr">
        <is>
          <t>Сколько просмотров длилось дольше 60 секунд</t>
        </is>
      </c>
      <c r="C5" s="10" t="n"/>
      <c r="D5" s="11" t="n">
        <v>792</v>
      </c>
      <c r="E5" s="8">
        <f>IF(C5="","",IF(ABS(C5-D5)&lt;=0.5,"OK Верно","X Пересчитай"))</f>
        <v/>
      </c>
      <c r="F5" s="12" t="inlineStr">
        <is>
          <t>3 600 × 22% = 792 просмотра.</t>
        </is>
      </c>
    </row>
    <row r="6" ht="32" customHeight="1">
      <c r="A6" s="8" t="n">
        <v>5</v>
      </c>
      <c r="B6" s="9" t="inlineStr">
        <is>
          <t>Сколько досмотров блока «Отзывы» приходится на 1 заказ (один знак после запятой)</t>
        </is>
      </c>
      <c r="C6" s="13" t="n"/>
      <c r="D6" s="14" t="n">
        <v>3.9</v>
      </c>
      <c r="E6" s="8">
        <f>IF(C6="","",IF(ABS(C6-D6)&lt;=0.05,"OK Верно","X Пересчитай"))</f>
        <v/>
      </c>
      <c r="F6" s="12" t="inlineStr">
        <is>
          <t>1 476 ÷ 378 = 3,88 ≈ 3,9 досмотра на заказ.</t>
        </is>
      </c>
    </row>
    <row r="8">
      <c r="A8" s="15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9" t="inlineStr">
        <is>
          <t>Досмотры блока</t>
        </is>
      </c>
      <c r="B2" s="9" t="inlineStr">
        <is>
          <t>просмотры карточки × (доля досмотра ÷ 100)</t>
        </is>
      </c>
    </row>
    <row r="3">
      <c r="A3" s="9" t="inlineStr">
        <is>
          <t>Мгновенные уходы</t>
        </is>
      </c>
      <c r="B3" s="9" t="inlineStr">
        <is>
          <t>просмотры × (доля уходов &lt; 10 сек ÷ 100)</t>
        </is>
      </c>
    </row>
    <row r="4">
      <c r="A4" s="9" t="inlineStr">
        <is>
          <t>Досмотров на заказ</t>
        </is>
      </c>
      <c r="B4" s="9" t="inlineStr">
        <is>
          <t>досмотры блока ÷ заказы</t>
        </is>
      </c>
    </row>
    <row r="5">
      <c r="A5" s="9" t="inlineStr">
        <is>
          <t>Коэффициент удержания</t>
        </is>
      </c>
      <c r="B5" s="9" t="inlineStr">
        <is>
          <t>100% − доля мгновенных уходов</t>
        </is>
      </c>
    </row>
    <row r="6">
      <c r="A6" s="9" t="inlineStr">
        <is>
          <t>Глубина карточки</t>
        </is>
      </c>
      <c r="B6" s="9" t="inlineStr">
        <is>
          <t>доля досмотров до нижних блоков (характеристики, отзывы)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