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словия" sheetId="1" state="visible" r:id="rId1"/>
    <sheet xmlns:r="http://schemas.openxmlformats.org/officeDocument/2006/relationships" name="Задания" sheetId="2" state="visible" r:id="rId2"/>
    <sheet xmlns:r="http://schemas.openxmlformats.org/officeDocument/2006/relationships" name="Справ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0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sz val="11"/>
    </font>
    <font>
      <b val="1"/>
      <color rgb="00FFFFFF"/>
    </font>
    <font>
      <color rgb="00A9B7CC"/>
    </font>
    <font>
      <i val="1"/>
      <color rgb="0080808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2" fontId="0" fillId="3" borderId="1" pivotButton="0" quotePrefix="0" xfId="0"/>
    <xf numFmtId="2" fontId="5" fillId="4" borderId="1" pivotButton="0" quotePrefix="0" xfId="0"/>
    <xf numFmtId="0" fontId="6" fillId="0" borderId="1" applyAlignment="1" pivotButton="0" quotePrefix="0" xfId="0">
      <alignment vertical="top" wrapText="1"/>
    </xf>
    <xf numFmtId="164" fontId="0" fillId="3" borderId="1" pivotButton="0" quotePrefix="0" xfId="0"/>
    <xf numFmtId="164" fontId="5" fillId="4" borderId="1" pivotButton="0" quotePrefix="0" xfId="0"/>
    <xf numFmtId="3" fontId="0" fillId="3" borderId="1" pivotButton="0" quotePrefix="0" xfId="0"/>
    <xf numFmtId="3" fontId="5" fillId="4" borderId="1" pivotButton="0" quotePrefix="0" xfId="0"/>
    <xf numFmtId="165" fontId="0" fillId="3" borderId="1" pivotButton="0" quotePrefix="0" xfId="0"/>
    <xf numFmtId="165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Урок 9: Заказы, покупатели и частота покупок — данные для заданий</t>
        </is>
      </c>
    </row>
    <row r="3">
      <c r="A3" s="2" t="inlineStr">
        <is>
          <t>Кейс курса: TRM-500 «Термокружка Arctic 500 мл» (бренд Nordvik, Wildberries), период — март 2026, 28 дней (4 недели).</t>
        </is>
      </c>
    </row>
    <row r="4">
      <c r="A4" s="2" t="inlineStr">
        <is>
          <t>Задания считаются по данным этого листа. Ответ — всегда число: проценты вводите числом (3,0 — это три процента), деньги — без пробелов и знака ₽.</t>
        </is>
      </c>
    </row>
    <row r="6">
      <c r="A6" s="3" t="inlineStr">
        <is>
          <t>Заказы и покупатели TRM-500 за 28 дней</t>
        </is>
      </c>
    </row>
    <row r="7">
      <c r="A7" s="4" t="inlineStr">
        <is>
          <t>Показатель</t>
        </is>
      </c>
      <c r="B7" s="4" t="inlineStr">
        <is>
          <t>Значение</t>
        </is>
      </c>
    </row>
    <row r="8">
      <c r="A8" s="5" t="inlineStr">
        <is>
          <t>Заказы</t>
        </is>
      </c>
      <c r="B8" s="6" t="n">
        <v>378</v>
      </c>
    </row>
    <row r="9">
      <c r="A9" s="5" t="inlineStr">
        <is>
          <t>Уникальные покупатели</t>
        </is>
      </c>
      <c r="B9" s="6" t="n">
        <v>340</v>
      </c>
    </row>
    <row r="10">
      <c r="A10" s="5" t="inlineStr">
        <is>
          <t>Повторные покупатели</t>
        </is>
      </c>
      <c r="B10" s="6" t="n">
        <v>38</v>
      </c>
    </row>
    <row r="11">
      <c r="A11" s="5" t="inlineStr">
        <is>
          <t>Продано единиц товара</t>
        </is>
      </c>
      <c r="B11" s="6" t="n">
        <v>420</v>
      </c>
    </row>
    <row r="12">
      <c r="A12" s="5" t="inlineStr">
        <is>
          <t>Дней в периоде</t>
        </is>
      </c>
      <c r="B12" s="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4" customWidth="1" min="3" max="3"/>
    <col width="16" customWidth="1" min="4" max="4"/>
    <col width="14" customWidth="1" min="5" max="5"/>
    <col width="52" customWidth="1" min="6" max="6"/>
  </cols>
  <sheetData>
    <row r="1">
      <c r="A1" s="4" t="inlineStr">
        <is>
          <t>№</t>
        </is>
      </c>
      <c r="B1" s="4" t="inlineStr">
        <is>
          <t>Задание</t>
        </is>
      </c>
      <c r="C1" s="4" t="inlineStr">
        <is>
          <t>Ваш ответ</t>
        </is>
      </c>
      <c r="D1" s="4" t="inlineStr">
        <is>
          <t>Правильный ответ</t>
        </is>
      </c>
      <c r="E1" s="4" t="inlineStr">
        <is>
          <t>Статус</t>
        </is>
      </c>
      <c r="F1" s="4" t="inlineStr">
        <is>
          <t>Подсказка (путь решения)</t>
        </is>
      </c>
    </row>
    <row r="2" ht="32" customHeight="1">
      <c r="A2" s="7" t="n">
        <v>1</v>
      </c>
      <c r="B2" s="8" t="inlineStr">
        <is>
          <t>Сколько заказов в среднем приходится на одного покупателя (два знака после запятой)</t>
        </is>
      </c>
      <c r="C2" s="9" t="n"/>
      <c r="D2" s="10" t="n">
        <v>1.11</v>
      </c>
      <c r="E2" s="7">
        <f>IF(C2="","",IF(ABS(C2-D2)&lt;=0.01,"OK Верно","X Пересчитай"))</f>
        <v/>
      </c>
      <c r="F2" s="11" t="inlineStr">
        <is>
          <t>378 ÷ 340 = 1,1118 ≈ 1,11 заказа на покупателя.</t>
        </is>
      </c>
    </row>
    <row r="3" ht="32" customHeight="1">
      <c r="A3" s="7" t="n">
        <v>2</v>
      </c>
      <c r="B3" s="8" t="inlineStr">
        <is>
          <t>Доля повторных покупателей, % (один знак после запятой)</t>
        </is>
      </c>
      <c r="C3" s="12" t="n"/>
      <c r="D3" s="13" t="n">
        <v>11.2</v>
      </c>
      <c r="E3" s="7">
        <f>IF(C3="","",IF(ABS(C3-D3)&lt;=0.05,"OK Верно","X Пересчитай"))</f>
        <v/>
      </c>
      <c r="F3" s="11" t="inlineStr">
        <is>
          <t>38 ÷ 340 × 100% = 11,18% ≈ 11,2%.</t>
        </is>
      </c>
    </row>
    <row r="4" ht="32" customHeight="1">
      <c r="A4" s="7" t="n">
        <v>3</v>
      </c>
      <c r="B4" s="8" t="inlineStr">
        <is>
          <t>Сколько новых покупателей за период</t>
        </is>
      </c>
      <c r="C4" s="14" t="n"/>
      <c r="D4" s="15" t="n">
        <v>302</v>
      </c>
      <c r="E4" s="7">
        <f>IF(C4="","",IF(ABS(C4-D4)&lt;=0.5,"OK Верно","X Пересчитай"))</f>
        <v/>
      </c>
      <c r="F4" s="11" t="inlineStr">
        <is>
          <t>340 − 38 = 302 новых покупателя.</t>
        </is>
      </c>
    </row>
    <row r="5" ht="32" customHeight="1">
      <c r="A5" s="7" t="n">
        <v>4</v>
      </c>
      <c r="B5" s="8" t="inlineStr">
        <is>
          <t>Сколько заказов в среднем приходится на один день периода (один знак после запятой)</t>
        </is>
      </c>
      <c r="C5" s="16" t="n"/>
      <c r="D5" s="17" t="n">
        <v>13.5</v>
      </c>
      <c r="E5" s="7">
        <f>IF(C5="","",IF(ABS(C5-D5)&lt;=0.05,"OK Верно","X Пересчитай"))</f>
        <v/>
      </c>
      <c r="F5" s="11" t="inlineStr">
        <is>
          <t>378 ÷ 28 = 13,5 заказа в день.</t>
        </is>
      </c>
    </row>
    <row r="6" ht="32" customHeight="1">
      <c r="A6" s="7" t="n">
        <v>5</v>
      </c>
      <c r="B6" s="8" t="inlineStr">
        <is>
          <t>Сколько заказов будет за 30 дней при том же темпе (один знак после запятой)</t>
        </is>
      </c>
      <c r="C6" s="16" t="n"/>
      <c r="D6" s="17" t="n">
        <v>405</v>
      </c>
      <c r="E6" s="7">
        <f>IF(C6="","",IF(ABS(C6-D6)&lt;=0.5,"OK Верно","X Пересчитай"))</f>
        <v/>
      </c>
      <c r="F6" s="11" t="inlineStr">
        <is>
          <t>13,5 × 30 = 405 заказов.</t>
        </is>
      </c>
    </row>
    <row r="8">
      <c r="A8" s="18" t="inlineStr">
        <is>
          <t>Правильный ответ подкрашен — сначала решите сами. Проверка: |ваш ответ − правильный| ≤ допуск задания.</t>
        </is>
      </c>
    </row>
  </sheetData>
  <conditionalFormatting sqref="E2:E6">
    <cfRule type="expression" priority="1" dxfId="0">
      <formula>ISNUMBER(SEARCH("OK",E2))</formula>
    </cfRule>
    <cfRule type="expression" priority="2" dxfId="1">
      <formula>ISNUMBER(SEARCH("X",E2))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74" customWidth="1" min="2" max="2"/>
  </cols>
  <sheetData>
    <row r="1">
      <c r="A1" s="4" t="inlineStr">
        <is>
          <t>Метрика / правило</t>
        </is>
      </c>
      <c r="B1" s="4" t="inlineStr">
        <is>
          <t>Формула</t>
        </is>
      </c>
    </row>
    <row r="2">
      <c r="A2" s="8" t="inlineStr">
        <is>
          <t>Заказов на покупателя</t>
        </is>
      </c>
      <c r="B2" s="8" t="inlineStr">
        <is>
          <t>заказы ÷ уникальные покупатели</t>
        </is>
      </c>
    </row>
    <row r="3">
      <c r="A3" s="8" t="inlineStr">
        <is>
          <t>Доля повторных</t>
        </is>
      </c>
      <c r="B3" s="8" t="inlineStr">
        <is>
          <t>повторные покупатели ÷ все покупатели × 100%</t>
        </is>
      </c>
    </row>
    <row r="4">
      <c r="A4" s="8" t="inlineStr">
        <is>
          <t>Новые покупатели</t>
        </is>
      </c>
      <c r="B4" s="8" t="inlineStr">
        <is>
          <t>все покупатели − повторные</t>
        </is>
      </c>
    </row>
    <row r="5">
      <c r="A5" s="8" t="inlineStr">
        <is>
          <t>Темп заказов</t>
        </is>
      </c>
      <c r="B5" s="8" t="inlineStr">
        <is>
          <t>заказы ÷ дни периода</t>
        </is>
      </c>
    </row>
    <row r="6">
      <c r="A6" s="8" t="inlineStr">
        <is>
          <t>Прогноз на N дней</t>
        </is>
      </c>
      <c r="B6" s="8" t="inlineStr">
        <is>
          <t>темп заказов × N</t>
        </is>
      </c>
    </row>
    <row r="7">
      <c r="A7" s="8" t="inlineStr">
        <is>
          <t>Единицы vs заказы</t>
        </is>
      </c>
      <c r="B7" s="8" t="inlineStr">
        <is>
          <t>единицы ÷ заказы = товаров в заказе (см. урок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2026-09-24T08:25:54Z</dcterms:created>
  <dcterms:modified xmlns:dcterms="http://purl.org/dc/terms/" xmlns:xsi="http://www.w3.org/2001/XMLSchema-instance" xsi:type="dcterms:W3CDTF">2026-09-24T08:25:54Z</dcterms:modified>
</cp:coreProperties>
</file>