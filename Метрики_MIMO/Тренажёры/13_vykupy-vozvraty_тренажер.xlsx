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3" borderId="1" pivotButton="0" quotePrefix="0" xfId="0"/>
    <xf numFmtId="164" fontId="5" fillId="4" borderId="1" pivotButton="0" quotePrefix="0" xfId="0"/>
    <xf numFmtId="0" fontId="6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Урок 13: Выкупы и возвраты: как контент их снижает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Заказы и выкуп TRM-500 за 28 дней</t>
        </is>
      </c>
    </row>
    <row r="7">
      <c r="A7" s="4" t="inlineStr">
        <is>
          <t>Показатель</t>
        </is>
      </c>
      <c r="B7" s="4" t="inlineStr">
        <is>
          <t>Значение</t>
        </is>
      </c>
    </row>
    <row r="8">
      <c r="A8" s="5" t="inlineStr">
        <is>
          <t>Заказов</t>
        </is>
      </c>
      <c r="B8" s="6" t="n">
        <v>378</v>
      </c>
    </row>
    <row r="9">
      <c r="A9" s="5" t="inlineStr">
        <is>
          <t>Выкуплено заказов</t>
        </is>
      </c>
      <c r="B9" s="6" t="n">
        <v>344</v>
      </c>
    </row>
    <row r="11">
      <c r="A11" s="3" t="inlineStr">
        <is>
          <t>Причины возвратов (всего 34 заказа)</t>
        </is>
      </c>
    </row>
    <row r="12">
      <c r="A12" s="4" t="inlineStr">
        <is>
          <t>Причина возврата</t>
        </is>
      </c>
      <c r="B12" s="4" t="inlineStr">
        <is>
          <t>Заказов</t>
        </is>
      </c>
    </row>
    <row r="13">
      <c r="A13" s="5" t="inlineStr">
        <is>
          <t>Не подошёл объём / размер</t>
        </is>
      </c>
      <c r="B13" s="6" t="n">
        <v>14</v>
      </c>
    </row>
    <row r="14">
      <c r="A14" s="5" t="inlineStr">
        <is>
          <t>Не соответствует фото и описанию</t>
        </is>
      </c>
      <c r="B14" s="6" t="n">
        <v>8</v>
      </c>
    </row>
    <row r="15">
      <c r="A15" s="5" t="inlineStr">
        <is>
          <t>Брак</t>
        </is>
      </c>
      <c r="B15" s="6" t="n">
        <v>5</v>
      </c>
    </row>
    <row r="16">
      <c r="A16" s="5" t="inlineStr">
        <is>
          <t>Повреждение в доставке</t>
        </is>
      </c>
      <c r="B16" s="6" t="n">
        <v>4</v>
      </c>
    </row>
    <row r="17">
      <c r="A17" s="5" t="inlineStr">
        <is>
          <t>Другое</t>
        </is>
      </c>
      <c r="B17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7" t="n">
        <v>1</v>
      </c>
      <c r="B2" s="8" t="inlineStr">
        <is>
          <t>Процент выкупа заказов (один знак после запятой)</t>
        </is>
      </c>
      <c r="C2" s="9" t="n"/>
      <c r="D2" s="10" t="n">
        <v>91</v>
      </c>
      <c r="E2" s="7">
        <f>IF(C2="","",IF(ABS(C2-D2)&lt;=0.05,"OK Верно","X Пересчитай"))</f>
        <v/>
      </c>
      <c r="F2" s="11" t="inlineStr">
        <is>
          <t>344 ÷ 378 × 100% = 91,01% ≈ 91,0%.</t>
        </is>
      </c>
    </row>
    <row r="3" ht="32" customHeight="1">
      <c r="A3" s="7" t="n">
        <v>2</v>
      </c>
      <c r="B3" s="8" t="inlineStr">
        <is>
          <t>Процент возвратов от заказов (один знак после запятой)</t>
        </is>
      </c>
      <c r="C3" s="9" t="n"/>
      <c r="D3" s="10" t="n">
        <v>9</v>
      </c>
      <c r="E3" s="7">
        <f>IF(C3="","",IF(ABS(C3-D3)&lt;=0.05,"OK Верно","X Пересчитай"))</f>
        <v/>
      </c>
      <c r="F3" s="11" t="inlineStr">
        <is>
          <t>34 ÷ 378 × 100% = 8,99% ≈ 9,0% (34 = 378 − 344).</t>
        </is>
      </c>
    </row>
    <row r="4" ht="32" customHeight="1">
      <c r="A4" s="7" t="n">
        <v>3</v>
      </c>
      <c r="B4" s="8" t="inlineStr">
        <is>
          <t>Доля возвратов «не соответствует фото и описанию», % (один знак после запятой)</t>
        </is>
      </c>
      <c r="C4" s="9" t="n"/>
      <c r="D4" s="10" t="n">
        <v>23.5</v>
      </c>
      <c r="E4" s="7">
        <f>IF(C4="","",IF(ABS(C4-D4)&lt;=0.05,"OK Верно","X Пересчитай"))</f>
        <v/>
      </c>
      <c r="F4" s="11" t="inlineStr">
        <is>
          <t>8 ÷ 34 × 100% = 23,53% ≈ 23,5%. Считается от возвратов, а не от заказов.</t>
        </is>
      </c>
    </row>
    <row r="5" ht="32" customHeight="1">
      <c r="A5" s="7" t="n">
        <v>4</v>
      </c>
      <c r="B5" s="8" t="inlineStr">
        <is>
          <t>Доля контент-возвратов (объём/размер + фото и описание) от всех возвратов, % (один знак после запятой)</t>
        </is>
      </c>
      <c r="C5" s="9" t="n"/>
      <c r="D5" s="10" t="n">
        <v>64.7</v>
      </c>
      <c r="E5" s="7">
        <f>IF(C5="","",IF(ABS(C5-D5)&lt;=0.05,"OK Верно","X Пересчитай"))</f>
        <v/>
      </c>
      <c r="F5" s="11" t="inlineStr">
        <is>
          <t>(14 + 8) ÷ 34 × 100% = 22 ÷ 34 = 64,71% ≈ 64,7%.</t>
        </is>
      </c>
    </row>
    <row r="6" ht="32" customHeight="1">
      <c r="A6" s="7" t="n">
        <v>5</v>
      </c>
      <c r="B6" s="8" t="inlineStr">
        <is>
          <t>Каким стал бы процент возвратов от заказов, если бы контент-возвраты исчезли полностью (один знак после запятой)</t>
        </is>
      </c>
      <c r="C6" s="9" t="n"/>
      <c r="D6" s="10" t="n">
        <v>3.2</v>
      </c>
      <c r="E6" s="7">
        <f>IF(C6="","",IF(ABS(C6-D6)&lt;=0.05,"OK Верно","X Пересчитай"))</f>
        <v/>
      </c>
      <c r="F6" s="11" t="inlineStr">
        <is>
          <t>(34 − 22) ÷ 378 × 100% = 12 ÷ 378 = 3,17% ≈ 3,2%.</t>
        </is>
      </c>
    </row>
    <row r="8">
      <c r="A8" s="12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8" t="inlineStr">
        <is>
          <t>% выкупа</t>
        </is>
      </c>
      <c r="B2" s="8" t="inlineStr">
        <is>
          <t>выкупленные заказы ÷ оформленные заказы × 100%</t>
        </is>
      </c>
    </row>
    <row r="3">
      <c r="A3" s="8" t="inlineStr">
        <is>
          <t>% возвратов</t>
        </is>
      </c>
      <c r="B3" s="8" t="inlineStr">
        <is>
          <t>возвраты ÷ оформленные заказы × 100%</t>
        </is>
      </c>
    </row>
    <row r="4">
      <c r="A4" s="8" t="inlineStr">
        <is>
          <t>Доля причины</t>
        </is>
      </c>
      <c r="B4" s="8" t="inlineStr">
        <is>
          <t>возвраты по причине ÷ все возвраты × 100%</t>
        </is>
      </c>
    </row>
    <row r="5">
      <c r="A5" s="8" t="inlineStr">
        <is>
          <t>Контент-возвраты</t>
        </is>
      </c>
      <c r="B5" s="8" t="inlineStr">
        <is>
          <t>«не подошёл объём/размер» + «не соответствует фото и описанию»</t>
        </is>
      </c>
    </row>
    <row r="6">
      <c r="A6" s="8" t="inlineStr">
        <is>
          <t>Эффект правок</t>
        </is>
      </c>
      <c r="B6" s="8" t="inlineStr">
        <is>
          <t>(возвраты − контент-возвраты) ÷ заказы × 100% = целевой % возвратов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