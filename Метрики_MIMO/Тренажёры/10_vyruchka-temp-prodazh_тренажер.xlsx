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 ₽&quot;"/>
    <numFmt numFmtId="165" formatCode="#,##0.##"/>
    <numFmt numFmtId="166" formatCode="#,##0.0"/>
    <numFmt numFmtId="167" formatCode="0.0&quot;%&quot;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sz val="11"/>
    </font>
    <font>
      <b val="1"/>
      <color rgb="00FFFFFF"/>
    </font>
    <font>
      <color rgb="00A9B7CC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3" borderId="1" pivotButton="0" quotePrefix="0" xfId="0"/>
    <xf numFmtId="164" fontId="5" fillId="4" borderId="1" pivotButton="0" quotePrefix="0" xfId="0"/>
    <xf numFmtId="0" fontId="6" fillId="0" borderId="1" applyAlignment="1" pivotButton="0" quotePrefix="0" xfId="0">
      <alignment vertical="top" wrapText="1"/>
    </xf>
    <xf numFmtId="166" fontId="0" fillId="3" borderId="1" pivotButton="0" quotePrefix="0" xfId="0"/>
    <xf numFmtId="166" fontId="5" fillId="4" borderId="1" pivotButton="0" quotePrefix="0" xfId="0"/>
    <xf numFmtId="167" fontId="0" fillId="3" borderId="1" pivotButton="0" quotePrefix="0" xfId="0"/>
    <xf numFmtId="167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</cols>
  <sheetData>
    <row r="1">
      <c r="A1" s="1" t="inlineStr">
        <is>
          <t>Урок 10: Выручка (GMV) и темп продаж — данные для заданий</t>
        </is>
      </c>
    </row>
    <row r="3">
      <c r="A3" s="2" t="inlineStr">
        <is>
          <t>Кейс курса: TRM-500 «Термокружка Arctic 500 мл» (бренд Nordvik, Wildberries), период — март 2026, 28 дней (4 недели).</t>
        </is>
      </c>
    </row>
    <row r="4">
      <c r="A4" s="2" t="inlineStr">
        <is>
          <t>Задания считаются по данным этого листа. Ответ — всегда число: проценты вводите числом (3,0 — это три процента), деньги — без пробелов и знака ₽.</t>
        </is>
      </c>
    </row>
    <row r="6">
      <c r="A6" s="3" t="inlineStr">
        <is>
          <t>Заказы по неделям (средний чек одинаков по всем неделям)</t>
        </is>
      </c>
    </row>
    <row r="7">
      <c r="A7" s="4" t="inlineStr">
        <is>
          <t>Неделя</t>
        </is>
      </c>
      <c r="B7" s="4" t="inlineStr">
        <is>
          <t>Заказы</t>
        </is>
      </c>
      <c r="C7" s="4" t="inlineStr">
        <is>
          <t>Средний чек, ₽</t>
        </is>
      </c>
    </row>
    <row r="8">
      <c r="A8" s="5" t="inlineStr">
        <is>
          <t>Неделя 1</t>
        </is>
      </c>
      <c r="B8" s="6" t="n">
        <v>63</v>
      </c>
      <c r="C8" s="7" t="n">
        <v>1750</v>
      </c>
    </row>
    <row r="9">
      <c r="A9" s="5" t="inlineStr">
        <is>
          <t>Неделя 2</t>
        </is>
      </c>
      <c r="B9" s="6" t="n">
        <v>78</v>
      </c>
      <c r="C9" s="7" t="n">
        <v>1750</v>
      </c>
    </row>
    <row r="10">
      <c r="A10" s="5" t="inlineStr">
        <is>
          <t>Неделя 3</t>
        </is>
      </c>
      <c r="B10" s="6" t="n">
        <v>104</v>
      </c>
      <c r="C10" s="7" t="n">
        <v>1750</v>
      </c>
    </row>
    <row r="11">
      <c r="A11" s="5" t="inlineStr">
        <is>
          <t>Неделя 4</t>
        </is>
      </c>
      <c r="B11" s="6" t="n">
        <v>133</v>
      </c>
      <c r="C11" s="7" t="n">
        <v>1750</v>
      </c>
    </row>
    <row r="13">
      <c r="A13" s="3" t="inlineStr">
        <is>
          <t>Склад и период</t>
        </is>
      </c>
    </row>
    <row r="14">
      <c r="A14" s="4" t="inlineStr">
        <is>
          <t>Показатель</t>
        </is>
      </c>
      <c r="B14" s="4" t="inlineStr">
        <is>
          <t>Значение</t>
        </is>
      </c>
    </row>
    <row r="15">
      <c r="A15" s="5" t="inlineStr">
        <is>
          <t>Продано единиц товара за период</t>
        </is>
      </c>
      <c r="B15" s="8" t="n">
        <v>420</v>
      </c>
    </row>
    <row r="16">
      <c r="A16" s="5" t="inlineStr">
        <is>
          <t>Остаток на начало периода, шт</t>
        </is>
      </c>
      <c r="B16" s="8" t="n">
        <v>700</v>
      </c>
    </row>
    <row r="17">
      <c r="A17" s="5" t="inlineStr">
        <is>
          <t>Дней в периоде</t>
        </is>
      </c>
      <c r="B17" s="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6" customWidth="1" min="4" max="4"/>
    <col width="14" customWidth="1" min="5" max="5"/>
    <col width="52" customWidth="1" min="6" max="6"/>
  </cols>
  <sheetData>
    <row r="1">
      <c r="A1" s="4" t="inlineStr">
        <is>
          <t>№</t>
        </is>
      </c>
      <c r="B1" s="4" t="inlineStr">
        <is>
          <t>Задание</t>
        </is>
      </c>
      <c r="C1" s="4" t="inlineStr">
        <is>
          <t>Ваш ответ</t>
        </is>
      </c>
      <c r="D1" s="4" t="inlineStr">
        <is>
          <t>Правильный ответ</t>
        </is>
      </c>
      <c r="E1" s="4" t="inlineStr">
        <is>
          <t>Статус</t>
        </is>
      </c>
      <c r="F1" s="4" t="inlineStr">
        <is>
          <t>Подсказка (путь решения)</t>
        </is>
      </c>
    </row>
    <row r="2" ht="32" customHeight="1">
      <c r="A2" s="9" t="n">
        <v>1</v>
      </c>
      <c r="B2" s="10" t="inlineStr">
        <is>
          <t>Выручка (GMV) за период, ₽</t>
        </is>
      </c>
      <c r="C2" s="11" t="n"/>
      <c r="D2" s="12" t="n">
        <v>661500</v>
      </c>
      <c r="E2" s="9">
        <f>IF(C2="","",IF(ABS(C2-D2)&lt;=1,"OK Верно","X Пересчитай"))</f>
        <v/>
      </c>
      <c r="F2" s="13" t="inlineStr">
        <is>
          <t>378 заказов × 1 750 ₽ = 661 500 ₽ (или сумма недельных выручек).</t>
        </is>
      </c>
    </row>
    <row r="3" ht="32" customHeight="1">
      <c r="A3" s="9" t="n">
        <v>2</v>
      </c>
      <c r="B3" s="10" t="inlineStr">
        <is>
          <t>Выручка четвёртой недели, ₽</t>
        </is>
      </c>
      <c r="C3" s="11" t="n"/>
      <c r="D3" s="12" t="n">
        <v>232750</v>
      </c>
      <c r="E3" s="9">
        <f>IF(C3="","",IF(ABS(C3-D3)&lt;=1,"OK Верно","X Пересчитай"))</f>
        <v/>
      </c>
      <c r="F3" s="13" t="inlineStr">
        <is>
          <t>133 заказа × 1 750 ₽ = 232 750 ₽.</t>
        </is>
      </c>
    </row>
    <row r="4" ht="32" customHeight="1">
      <c r="A4" s="9" t="n">
        <v>3</v>
      </c>
      <c r="B4" s="10" t="inlineStr">
        <is>
          <t>Среднесуточная выручка за период, ₽</t>
        </is>
      </c>
      <c r="C4" s="11" t="n"/>
      <c r="D4" s="12" t="n">
        <v>23625</v>
      </c>
      <c r="E4" s="9">
        <f>IF(C4="","",IF(ABS(C4-D4)&lt;=1,"OK Верно","X Пересчитай"))</f>
        <v/>
      </c>
      <c r="F4" s="13" t="inlineStr">
        <is>
          <t>661 500 ÷ 28 = 23 625 ₽ в день.</t>
        </is>
      </c>
    </row>
    <row r="5" ht="32" customHeight="1">
      <c r="A5" s="9" t="n">
        <v>4</v>
      </c>
      <c r="B5" s="10" t="inlineStr">
        <is>
          <t>Темп продаж: сколько единиц товара уходило в день (один знак после запятой)</t>
        </is>
      </c>
      <c r="C5" s="14" t="n"/>
      <c r="D5" s="15" t="n">
        <v>15</v>
      </c>
      <c r="E5" s="9">
        <f>IF(C5="","",IF(ABS(C5-D5)&lt;=0.05,"OK Верно","X Пересчитай"))</f>
        <v/>
      </c>
      <c r="F5" s="13" t="inlineStr">
        <is>
          <t>420 единиц ÷ 28 дней = 15,0 ед./день.</t>
        </is>
      </c>
    </row>
    <row r="6" ht="32" customHeight="1">
      <c r="A6" s="9" t="n">
        <v>5</v>
      </c>
      <c r="B6" s="10" t="inlineStr">
        <is>
          <t>Какую долю выручки периода дала четвёртая неделя, % (один знак после запятой)</t>
        </is>
      </c>
      <c r="C6" s="16" t="n"/>
      <c r="D6" s="17" t="n">
        <v>35.2</v>
      </c>
      <c r="E6" s="9">
        <f>IF(C6="","",IF(ABS(C6-D6)&lt;=0.05,"OK Верно","X Пересчитай"))</f>
        <v/>
      </c>
      <c r="F6" s="13" t="inlineStr">
        <is>
          <t>232 750 ÷ 661 500 × 100% = 35,19% ≈ 35,2%.</t>
        </is>
      </c>
    </row>
    <row r="8">
      <c r="A8" s="18" t="inlineStr">
        <is>
          <t>Правильный ответ подкрашен — сначала решите сами. Проверка: |ваш ответ − правильный| ≤ допуск задания.</t>
        </is>
      </c>
    </row>
  </sheetData>
  <conditionalFormatting sqref="E2:E6">
    <cfRule type="expression" priority="1" dxfId="0">
      <formula>ISNUMBER(SEARCH("OK",E2))</formula>
    </cfRule>
    <cfRule type="expression" priority="2" dxfId="1">
      <formula>ISNUMBER(SEARCH("X",E2))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4" t="inlineStr">
        <is>
          <t>Метрика / правило</t>
        </is>
      </c>
      <c r="B1" s="4" t="inlineStr">
        <is>
          <t>Формула</t>
        </is>
      </c>
    </row>
    <row r="2">
      <c r="A2" s="10" t="inlineStr">
        <is>
          <t>Выручка (GMV)</t>
        </is>
      </c>
      <c r="B2" s="10" t="inlineStr">
        <is>
          <t>заказы × средний чек = единицы × средняя цена продажи</t>
        </is>
      </c>
    </row>
    <row r="3">
      <c r="A3" s="10" t="inlineStr">
        <is>
          <t>Выручка недели</t>
        </is>
      </c>
      <c r="B3" s="10" t="inlineStr">
        <is>
          <t>заказы недели × средний чек</t>
        </is>
      </c>
    </row>
    <row r="4">
      <c r="A4" s="10" t="inlineStr">
        <is>
          <t>Среднесуточная выручка</t>
        </is>
      </c>
      <c r="B4" s="10" t="inlineStr">
        <is>
          <t>выручка ÷ дни периода</t>
        </is>
      </c>
    </row>
    <row r="5">
      <c r="A5" s="10" t="inlineStr">
        <is>
          <t>Темп продаж (velocity)</t>
        </is>
      </c>
      <c r="B5" s="10" t="inlineStr">
        <is>
          <t>продано единиц ÷ дни периода</t>
        </is>
      </c>
    </row>
    <row r="6">
      <c r="A6" s="10" t="inlineStr">
        <is>
          <t>Sell-through</t>
        </is>
      </c>
      <c r="B6" s="10" t="inlineStr">
        <is>
          <t>продано единиц ÷ остаток на начало × 100%</t>
        </is>
      </c>
    </row>
    <row r="7">
      <c r="A7" s="10" t="inlineStr">
        <is>
          <t>Запас на N дней</t>
        </is>
      </c>
      <c r="B7" s="10" t="inlineStr">
        <is>
          <t>темп продаж ×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2026-09-24T08:25:54Z</dcterms:created>
  <dcterms:modified xmlns:dcterms="http://purl.org/dc/terms/" xmlns:xsi="http://www.w3.org/2001/XMLSchema-instance" xsi:type="dcterms:W3CDTF">2026-09-24T08:25:54Z</dcterms:modified>
</cp:coreProperties>
</file>