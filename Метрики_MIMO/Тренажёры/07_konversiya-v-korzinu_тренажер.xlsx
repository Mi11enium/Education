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"/>
    <numFmt numFmtId="166" formatCode="#,##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164" fontId="5" fillId="4" borderId="1" pivotButton="0" quotePrefix="0" xfId="0"/>
    <xf numFmtId="0" fontId="6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166" fontId="0" fillId="3" borderId="1" pivotButton="0" quotePrefix="0" xfId="0"/>
    <xf numFmtId="166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</cols>
  <sheetData>
    <row r="1">
      <c r="A1" s="1" t="inlineStr">
        <is>
          <t>Урок 7: Конверсия просмотров в корзину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Просмотры и корзины TRM-500 по неделям (март 2026)</t>
        </is>
      </c>
    </row>
    <row r="7">
      <c r="A7" s="4" t="inlineStr">
        <is>
          <t>Неделя</t>
        </is>
      </c>
      <c r="B7" s="4" t="inlineStr">
        <is>
          <t>Просмотры карточки</t>
        </is>
      </c>
      <c r="C7" s="4" t="inlineStr">
        <is>
          <t>Добавления в корзину</t>
        </is>
      </c>
    </row>
    <row r="8">
      <c r="A8" s="5" t="inlineStr">
        <is>
          <t>Неделя 1</t>
        </is>
      </c>
      <c r="B8" s="6" t="n">
        <v>675</v>
      </c>
      <c r="C8" s="6" t="n">
        <v>95</v>
      </c>
    </row>
    <row r="9">
      <c r="A9" s="5" t="inlineStr">
        <is>
          <t>Неделя 2</t>
        </is>
      </c>
      <c r="B9" s="6" t="n">
        <v>812</v>
      </c>
      <c r="C9" s="6" t="n">
        <v>118</v>
      </c>
    </row>
    <row r="10">
      <c r="A10" s="5" t="inlineStr">
        <is>
          <t>Неделя 3</t>
        </is>
      </c>
      <c r="B10" s="6" t="n">
        <v>993</v>
      </c>
      <c r="C10" s="6" t="n">
        <v>150</v>
      </c>
    </row>
    <row r="11">
      <c r="A11" s="5" t="inlineStr">
        <is>
          <t>Неделя 4</t>
        </is>
      </c>
      <c r="B11" s="6" t="n">
        <v>1120</v>
      </c>
      <c r="C11" s="6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CR просмотры → корзина за первую неделю, % (один знак после запятой)</t>
        </is>
      </c>
      <c r="C2" s="9" t="n"/>
      <c r="D2" s="10" t="n">
        <v>14.1</v>
      </c>
      <c r="E2" s="7">
        <f>IF(C2="","",IF(ABS(C2-D2)&lt;=0.05,"OK Верно","X Пересчитай"))</f>
        <v/>
      </c>
      <c r="F2" s="11" t="inlineStr">
        <is>
          <t>95 ÷ 675 × 100% = 14,07% ≈ 14,1%.</t>
        </is>
      </c>
    </row>
    <row r="3" ht="32" customHeight="1">
      <c r="A3" s="7" t="n">
        <v>2</v>
      </c>
      <c r="B3" s="8" t="inlineStr">
        <is>
          <t>CR просмотры → корзина за четвёртую неделю, % (один знак после запятой)</t>
        </is>
      </c>
      <c r="C3" s="9" t="n"/>
      <c r="D3" s="10" t="n">
        <v>15.8</v>
      </c>
      <c r="E3" s="7">
        <f>IF(C3="","",IF(ABS(C3-D3)&lt;=0.05,"OK Верно","X Пересчитай"))</f>
        <v/>
      </c>
      <c r="F3" s="11" t="inlineStr">
        <is>
          <t>177 ÷ 1 120 × 100% = 15,80% ≈ 15,8%.</t>
        </is>
      </c>
    </row>
    <row r="4" ht="32" customHeight="1">
      <c r="A4" s="7" t="n">
        <v>3</v>
      </c>
      <c r="B4" s="8" t="inlineStr">
        <is>
          <t>CR просмотры → корзина за весь период, % (один знак после запятой)</t>
        </is>
      </c>
      <c r="C4" s="9" t="n"/>
      <c r="D4" s="10" t="n">
        <v>15</v>
      </c>
      <c r="E4" s="7">
        <f>IF(C4="","",IF(ABS(C4-D4)&lt;=0.05,"OK Верно","X Пересчитай"))</f>
        <v/>
      </c>
      <c r="F4" s="11" t="inlineStr">
        <is>
          <t>540 корзин ÷ 3 600 просмотров × 100% = 15,0% (суммы по неделям сходятся).</t>
        </is>
      </c>
    </row>
    <row r="5" ht="32" customHeight="1">
      <c r="A5" s="7" t="n">
        <v>4</v>
      </c>
      <c r="B5" s="8" t="inlineStr">
        <is>
          <t>На сколько процентных пунктов вырос CR: неделя 4 к неделе 1 (один знак после запятой)</t>
        </is>
      </c>
      <c r="C5" s="12" t="n"/>
      <c r="D5" s="13" t="n">
        <v>1.7</v>
      </c>
      <c r="E5" s="7">
        <f>IF(C5="","",IF(ABS(C5-D5)&lt;=0.05,"OK Верно","X Пересчитай"))</f>
        <v/>
      </c>
      <c r="F5" s="11" t="inlineStr">
        <is>
          <t>15,8% − 14,1% = 1,7 пп (по неокруглённым: 15,80 − 14,07 = 1,73 ≈ 1,7).</t>
        </is>
      </c>
    </row>
    <row r="6" ht="32" customHeight="1">
      <c r="A6" s="7" t="n">
        <v>5</v>
      </c>
      <c r="B6" s="8" t="inlineStr">
        <is>
          <t>Сколько корзин было бы за период, если бы CR недели 4 действовал все 28 дней (один знак после запятой)</t>
        </is>
      </c>
      <c r="C6" s="14" t="n"/>
      <c r="D6" s="15" t="n">
        <v>568.9</v>
      </c>
      <c r="E6" s="7">
        <f>IF(C6="","",IF(ABS(C6-D6)&lt;=0.5,"OK Верно","X Пересчитай"))</f>
        <v/>
      </c>
      <c r="F6" s="11" t="inlineStr">
        <is>
          <t>3 600 × 15,80% = 568,9 корзины (против фактических 540).</t>
        </is>
      </c>
    </row>
    <row r="8">
      <c r="A8" s="16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CR в корзину</t>
        </is>
      </c>
      <c r="B2" s="8" t="inlineStr">
        <is>
          <t>добавления в корзину ÷ просмотры карточки × 100%</t>
        </is>
      </c>
    </row>
    <row r="3">
      <c r="A3" s="8" t="inlineStr">
        <is>
          <t>Прирост CR в пп</t>
        </is>
      </c>
      <c r="B3" s="8" t="inlineStr">
        <is>
          <t>CR конца − CR начала</t>
        </is>
      </c>
    </row>
    <row r="4">
      <c r="A4" s="8" t="inlineStr">
        <is>
          <t>Прирост CR в %</t>
        </is>
      </c>
      <c r="B4" s="8" t="inlineStr">
        <is>
          <t>(CR конца − CR начала) ÷ CR начала × 100%</t>
        </is>
      </c>
    </row>
    <row r="5">
      <c r="A5" s="8" t="inlineStr">
        <is>
          <t>Корзин при новом CR</t>
        </is>
      </c>
      <c r="B5" s="8" t="inlineStr">
        <is>
          <t>просмотры × (новый CR ÷ 100)</t>
        </is>
      </c>
    </row>
    <row r="6">
      <c r="A6" s="8" t="inlineStr">
        <is>
          <t>Потенциал правки</t>
        </is>
      </c>
      <c r="B6" s="8" t="inlineStr">
        <is>
          <t>(целевой CR − текущий) ÷ 100 × просмотры = доп. корзины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