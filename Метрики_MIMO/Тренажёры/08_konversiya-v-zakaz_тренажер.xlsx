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164" fontId="5" fillId="4" borderId="1" pivotButton="0" quotePrefix="0" xfId="0"/>
    <xf numFmtId="0" fontId="6" fillId="0" borderId="1" applyAlignment="1" pivotButton="0" quotePrefix="0" xfId="0">
      <alignment vertical="top" wrapText="1"/>
    </xf>
    <xf numFmtId="3" fontId="0" fillId="3" borderId="1" pivotButton="0" quotePrefix="0" xfId="0"/>
    <xf numFmtId="3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</cols>
  <sheetData>
    <row r="1">
      <c r="A1" s="1" t="inlineStr">
        <is>
          <t>Урок 8: Конверсия корзины в заказ и брошенные корзины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Корзины и заказы TRM-500 по неделям (март 2026)</t>
        </is>
      </c>
    </row>
    <row r="7">
      <c r="A7" s="4" t="inlineStr">
        <is>
          <t>Неделя</t>
        </is>
      </c>
      <c r="B7" s="4" t="inlineStr">
        <is>
          <t>Добавления в корзину</t>
        </is>
      </c>
      <c r="C7" s="4" t="inlineStr">
        <is>
          <t>Заказы</t>
        </is>
      </c>
    </row>
    <row r="8">
      <c r="A8" s="5" t="inlineStr">
        <is>
          <t>Неделя 1</t>
        </is>
      </c>
      <c r="B8" s="6" t="n">
        <v>95</v>
      </c>
      <c r="C8" s="6" t="n">
        <v>63</v>
      </c>
    </row>
    <row r="9">
      <c r="A9" s="5" t="inlineStr">
        <is>
          <t>Неделя 2</t>
        </is>
      </c>
      <c r="B9" s="6" t="n">
        <v>118</v>
      </c>
      <c r="C9" s="6" t="n">
        <v>78</v>
      </c>
    </row>
    <row r="10">
      <c r="A10" s="5" t="inlineStr">
        <is>
          <t>Неделя 3</t>
        </is>
      </c>
      <c r="B10" s="6" t="n">
        <v>150</v>
      </c>
      <c r="C10" s="6" t="n">
        <v>104</v>
      </c>
    </row>
    <row r="11">
      <c r="A11" s="5" t="inlineStr">
        <is>
          <t>Неделя 4</t>
        </is>
      </c>
      <c r="B11" s="6" t="n">
        <v>177</v>
      </c>
      <c r="C11" s="6" t="n">
        <v>133</v>
      </c>
    </row>
    <row r="13">
      <c r="A13" s="3" t="inlineStr">
        <is>
          <t>Для сквозной конверсии</t>
        </is>
      </c>
    </row>
    <row r="14">
      <c r="A14" s="4" t="inlineStr">
        <is>
          <t>Показатель</t>
        </is>
      </c>
      <c r="B14" s="4" t="inlineStr">
        <is>
          <t>Значение</t>
        </is>
      </c>
    </row>
    <row r="15">
      <c r="A15" s="5" t="inlineStr">
        <is>
          <t>Просмотры карточки за период</t>
        </is>
      </c>
      <c r="B15" s="6" t="n">
        <v>3600</v>
      </c>
    </row>
    <row r="16">
      <c r="A16" s="5" t="inlineStr">
        <is>
          <t>Заказы за период</t>
        </is>
      </c>
      <c r="B16" s="6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CR корзина → заказ за весь период, % (один знак после запятой)</t>
        </is>
      </c>
      <c r="C2" s="9" t="n"/>
      <c r="D2" s="10" t="n">
        <v>70</v>
      </c>
      <c r="E2" s="7">
        <f>IF(C2="","",IF(ABS(C2-D2)&lt;=0.05,"OK Верно","X Пересчитай"))</f>
        <v/>
      </c>
      <c r="F2" s="11" t="inlineStr">
        <is>
          <t>378 заказов ÷ 540 корзин × 100% = 70,0%.</t>
        </is>
      </c>
    </row>
    <row r="3" ht="32" customHeight="1">
      <c r="A3" s="7" t="n">
        <v>2</v>
      </c>
      <c r="B3" s="8" t="inlineStr">
        <is>
          <t>Сколько корзин осталось брошенными за период</t>
        </is>
      </c>
      <c r="C3" s="12" t="n"/>
      <c r="D3" s="13" t="n">
        <v>162</v>
      </c>
      <c r="E3" s="7">
        <f>IF(C3="","",IF(ABS(C3-D3)&lt;=0.5,"OK Верно","X Пересчитай"))</f>
        <v/>
      </c>
      <c r="F3" s="11" t="inlineStr">
        <is>
          <t>540 − 378 = 162 брошенные корзины.</t>
        </is>
      </c>
    </row>
    <row r="4" ht="32" customHeight="1">
      <c r="A4" s="7" t="n">
        <v>3</v>
      </c>
      <c r="B4" s="8" t="inlineStr">
        <is>
          <t>CR корзина → заказ за первую неделю, % (один знак после запятой)</t>
        </is>
      </c>
      <c r="C4" s="9" t="n"/>
      <c r="D4" s="10" t="n">
        <v>66.3</v>
      </c>
      <c r="E4" s="7">
        <f>IF(C4="","",IF(ABS(C4-D4)&lt;=0.05,"OK Верно","X Пересчитай"))</f>
        <v/>
      </c>
      <c r="F4" s="11" t="inlineStr">
        <is>
          <t>63 ÷ 95 × 100% = 66,32% ≈ 66,3%.</t>
        </is>
      </c>
    </row>
    <row r="5" ht="32" customHeight="1">
      <c r="A5" s="7" t="n">
        <v>4</v>
      </c>
      <c r="B5" s="8" t="inlineStr">
        <is>
          <t>CR корзина → заказ за четвёртую неделю, % (один знак после запятой)</t>
        </is>
      </c>
      <c r="C5" s="9" t="n"/>
      <c r="D5" s="10" t="n">
        <v>75.09999999999999</v>
      </c>
      <c r="E5" s="7">
        <f>IF(C5="","",IF(ABS(C5-D5)&lt;=0.05,"OK Верно","X Пересчитай"))</f>
        <v/>
      </c>
      <c r="F5" s="11" t="inlineStr">
        <is>
          <t>133 ÷ 177 × 100% = 75,14% ≈ 75,1%.</t>
        </is>
      </c>
    </row>
    <row r="6" ht="32" customHeight="1">
      <c r="A6" s="7" t="n">
        <v>5</v>
      </c>
      <c r="B6" s="8" t="inlineStr">
        <is>
          <t>Сквозная конверсия просмотры → заказ за период, % (один знак после запятой)</t>
        </is>
      </c>
      <c r="C6" s="9" t="n"/>
      <c r="D6" s="10" t="n">
        <v>10.5</v>
      </c>
      <c r="E6" s="7">
        <f>IF(C6="","",IF(ABS(C6-D6)&lt;=0.05,"OK Верно","X Пересчитай"))</f>
        <v/>
      </c>
      <c r="F6" s="11" t="inlineStr">
        <is>
          <t>378 ÷ 3 600 × 100% = 10,5%.</t>
        </is>
      </c>
    </row>
    <row r="8">
      <c r="A8" s="14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CR корзина → заказ</t>
        </is>
      </c>
      <c r="B2" s="8" t="inlineStr">
        <is>
          <t>заказы ÷ добавления в корзину × 100%</t>
        </is>
      </c>
    </row>
    <row r="3">
      <c r="A3" s="8" t="inlineStr">
        <is>
          <t>Брошенные корзины</t>
        </is>
      </c>
      <c r="B3" s="8" t="inlineStr">
        <is>
          <t>добавления в корзину − заказы</t>
        </is>
      </c>
    </row>
    <row r="4">
      <c r="A4" s="8" t="inlineStr">
        <is>
          <t>CR просмотры → заказ</t>
        </is>
      </c>
      <c r="B4" s="8" t="inlineStr">
        <is>
          <t>заказы ÷ просмотры карточки × 100%</t>
        </is>
      </c>
    </row>
    <row r="5">
      <c r="A5" s="8" t="inlineStr">
        <is>
          <t>Сквозная цепочка</t>
        </is>
      </c>
      <c r="B5" s="8" t="inlineStr">
        <is>
          <t>CTR × CR корз. × CR зак. = CR показы → заказ</t>
        </is>
      </c>
    </row>
    <row r="6">
      <c r="A6" s="8" t="inlineStr">
        <is>
          <t>Потери финала</t>
        </is>
      </c>
      <c r="B6" s="8" t="inlineStr">
        <is>
          <t>100% − CR корзина → заказ — доля сомневающихся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