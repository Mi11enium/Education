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3" fontId="0" fillId="3" borderId="1" pivotButton="0" quotePrefix="0" xfId="0"/>
    <xf numFmtId="3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Урок 18: SEO-контент карточки: семантика и качество ядра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Семантическое ядро карточки TRM-500 (конец марта 2026)</t>
        </is>
      </c>
    </row>
    <row r="7">
      <c r="A7" s="4" t="inlineStr">
        <is>
          <t>Показатель</t>
        </is>
      </c>
      <c r="B7" s="4" t="inlineStr">
        <is>
          <t>Фраз</t>
        </is>
      </c>
    </row>
    <row r="8">
      <c r="A8" s="5" t="inlineStr">
        <is>
          <t>Всего фраз в ядре</t>
        </is>
      </c>
      <c r="B8" s="6" t="n">
        <v>312</v>
      </c>
    </row>
    <row r="9">
      <c r="A9" s="5" t="inlineStr">
        <is>
          <t>Фраз проиндексировано площадкой</t>
        </is>
      </c>
      <c r="B9" s="6" t="n">
        <v>280</v>
      </c>
    </row>
    <row r="10">
      <c r="A10" s="5" t="inlineStr">
        <is>
          <t>Фраз в топ-10 выдачи</t>
        </is>
      </c>
      <c r="B10" s="6" t="n">
        <v>96</v>
      </c>
    </row>
    <row r="11">
      <c r="A11" s="5" t="inlineStr">
        <is>
          <t>Фраз в топ-3 выдачи</t>
        </is>
      </c>
      <c r="B11" s="6" t="n">
        <v>21</v>
      </c>
    </row>
    <row r="13">
      <c r="A13" s="3" t="inlineStr">
        <is>
          <t>План расширения ядра</t>
        </is>
      </c>
    </row>
    <row r="14">
      <c r="A14" s="4" t="inlineStr">
        <is>
          <t>Параметр</t>
        </is>
      </c>
      <c r="B14" s="4" t="inlineStr">
        <is>
          <t>Значение</t>
        </is>
      </c>
    </row>
    <row r="15">
      <c r="A15" s="5" t="inlineStr">
        <is>
          <t>Новых фраз к добавлению</t>
        </is>
      </c>
      <c r="B15" s="7" t="n">
        <v>80</v>
      </c>
    </row>
    <row r="16">
      <c r="A16" s="5" t="inlineStr">
        <is>
          <t>Ожидаемая индексация новых фраз, %</t>
        </is>
      </c>
      <c r="B16" s="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8" t="n">
        <v>1</v>
      </c>
      <c r="B2" s="9" t="inlineStr">
        <is>
          <t>Индексация семантического ядра, % (один знак после запятой)</t>
        </is>
      </c>
      <c r="C2" s="10" t="n"/>
      <c r="D2" s="11" t="n">
        <v>89.7</v>
      </c>
      <c r="E2" s="8">
        <f>IF(C2="","",IF(ABS(C2-D2)&lt;=0.05,"OK Верно","X Пересчитай"))</f>
        <v/>
      </c>
      <c r="F2" s="12" t="inlineStr">
        <is>
          <t>280 ÷ 312 × 100% = 89,74% ≈ 89,7%.</t>
        </is>
      </c>
    </row>
    <row r="3" ht="32" customHeight="1">
      <c r="A3" s="8" t="n">
        <v>2</v>
      </c>
      <c r="B3" s="9" t="inlineStr">
        <is>
          <t>Доля фраз в топ-10 от индексируемых, % (один знак после запятой)</t>
        </is>
      </c>
      <c r="C3" s="10" t="n"/>
      <c r="D3" s="11" t="n">
        <v>34.3</v>
      </c>
      <c r="E3" s="8">
        <f>IF(C3="","",IF(ABS(C3-D3)&lt;=0.05,"OK Верно","X Пересчитай"))</f>
        <v/>
      </c>
      <c r="F3" s="12" t="inlineStr">
        <is>
          <t>96 ÷ 280 × 100% = 34,29% ≈ 34,3% (не от 312, а от 280!).</t>
        </is>
      </c>
    </row>
    <row r="4" ht="32" customHeight="1">
      <c r="A4" s="8" t="n">
        <v>3</v>
      </c>
      <c r="B4" s="9" t="inlineStr">
        <is>
          <t>Доля фраз в топ-3 от индексируемых, % (один знак после запятой)</t>
        </is>
      </c>
      <c r="C4" s="10" t="n"/>
      <c r="D4" s="11" t="n">
        <v>7.5</v>
      </c>
      <c r="E4" s="8">
        <f>IF(C4="","",IF(ABS(C4-D4)&lt;=0.05,"OK Верно","X Пересчитай"))</f>
        <v/>
      </c>
      <c r="F4" s="12" t="inlineStr">
        <is>
          <t>21 ÷ 280 × 100% = 7,5%.</t>
        </is>
      </c>
    </row>
    <row r="5" ht="32" customHeight="1">
      <c r="A5" s="8" t="n">
        <v>4</v>
      </c>
      <c r="B5" s="9" t="inlineStr">
        <is>
          <t>Сколько индексируемых фраз пока вне топ-10</t>
        </is>
      </c>
      <c r="C5" s="13" t="n"/>
      <c r="D5" s="14" t="n">
        <v>184</v>
      </c>
      <c r="E5" s="8">
        <f>IF(C5="","",IF(ABS(C5-D5)&lt;=0.5,"OK Верно","X Пересчитай"))</f>
        <v/>
      </c>
      <c r="F5" s="12" t="inlineStr">
        <is>
          <t>280 − 96 = 184 фразы.</t>
        </is>
      </c>
    </row>
    <row r="6" ht="32" customHeight="1">
      <c r="A6" s="8" t="n">
        <v>5</v>
      </c>
      <c r="B6" s="9" t="inlineStr">
        <is>
          <t>Сколько новых фраз проиндексируется, если добавить 80 фраз при ожидаемой индексации 75%</t>
        </is>
      </c>
      <c r="C6" s="13" t="n"/>
      <c r="D6" s="14" t="n">
        <v>60</v>
      </c>
      <c r="E6" s="8">
        <f>IF(C6="","",IF(ABS(C6-D6)&lt;=0.5,"OK Верно","X Пересчитай"))</f>
        <v/>
      </c>
      <c r="F6" s="12" t="inlineStr">
        <is>
          <t>80 × 75% = 60 новых проиндексированных фраз.</t>
        </is>
      </c>
    </row>
    <row r="8">
      <c r="A8" s="15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9" t="inlineStr">
        <is>
          <t>Индексация ядра</t>
        </is>
      </c>
      <c r="B2" s="9" t="inlineStr">
        <is>
          <t>проиндексированные фразы ÷ все фразы ядра × 100%</t>
        </is>
      </c>
    </row>
    <row r="3">
      <c r="A3" s="9" t="inlineStr">
        <is>
          <t>Доля топ-10</t>
        </is>
      </c>
      <c r="B3" s="9" t="inlineStr">
        <is>
          <t>фразы в топ-10 ÷ проиндексированные фразы × 100%</t>
        </is>
      </c>
    </row>
    <row r="4">
      <c r="A4" s="9" t="inlineStr">
        <is>
          <t>Доля топ-3</t>
        </is>
      </c>
      <c r="B4" s="9" t="inlineStr">
        <is>
          <t>фразы в топ-3 ÷ проиндексированные фразы × 100%</t>
        </is>
      </c>
    </row>
    <row r="5">
      <c r="A5" s="9" t="inlineStr">
        <is>
          <t>Фраз вне топ-10</t>
        </is>
      </c>
      <c r="B5" s="9" t="inlineStr">
        <is>
          <t>проиндексированные − топ-10 = фронт SEO-работ</t>
        </is>
      </c>
    </row>
    <row r="6">
      <c r="A6" s="9" t="inlineStr">
        <is>
          <t>Прогноз индексации</t>
        </is>
      </c>
      <c r="B6" s="9" t="inlineStr">
        <is>
          <t>новые фразы × ожидаемая индексация % ÷ 100</t>
        </is>
      </c>
    </row>
    <row r="7">
      <c r="A7" s="9" t="inlineStr">
        <is>
          <t>Название карточки</t>
        </is>
      </c>
      <c r="B7" s="9" t="inlineStr">
        <is>
          <t>3–5 смысловых слов: тип + ключевые параметры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