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0&quot; ₽&quot;"/>
    <numFmt numFmtId="166" formatCode="0.0&quot;%&quot;"/>
    <numFmt numFmtId="167" formatCode="#,##0&quot; ₽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2" fontId="0" fillId="3" borderId="1" pivotButton="0" quotePrefix="0" xfId="0"/>
    <xf numFmtId="2" fontId="5" fillId="4" borderId="1" pivotButton="0" quotePrefix="0" xfId="0"/>
    <xf numFmtId="167" fontId="0" fillId="3" borderId="1" pivotButton="0" quotePrefix="0" xfId="0"/>
    <xf numFmtId="167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Урок 12: Цена, скидка и эластичность спроса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Цена и спрос TRM-500 (два сценария по 28 дней)</t>
        </is>
      </c>
    </row>
    <row r="7">
      <c r="A7" s="4" t="inlineStr">
        <is>
          <t>Параметр</t>
        </is>
      </c>
      <c r="B7" s="4" t="inlineStr">
        <is>
          <t>Значение</t>
        </is>
      </c>
    </row>
    <row r="8">
      <c r="A8" s="5" t="inlineStr">
        <is>
          <t>Цена в карточке (прайс), ₽</t>
        </is>
      </c>
      <c r="B8" s="6" t="n">
        <v>1790</v>
      </c>
    </row>
    <row r="9">
      <c r="A9" s="5" t="inlineStr">
        <is>
          <t>Скидка, %</t>
        </is>
      </c>
      <c r="B9" s="6" t="n">
        <v>12</v>
      </c>
    </row>
    <row r="10">
      <c r="A10" s="5" t="inlineStr">
        <is>
          <t>Заказов за 28 дней по прайсной цене</t>
        </is>
      </c>
      <c r="B10" s="6" t="n">
        <v>320</v>
      </c>
    </row>
    <row r="11">
      <c r="A11" s="5" t="inlineStr">
        <is>
          <t>Заказов за 28 дней со скидкой</t>
        </is>
      </c>
      <c r="B11" s="6" t="n">
        <v>378</v>
      </c>
    </row>
    <row r="12">
      <c r="A12" s="5" t="inlineStr">
        <is>
          <t>Средний чек со скидкой, ₽</t>
        </is>
      </c>
      <c r="B12" s="6" t="n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Цена продажи со скидкой 12%, ₽ (один знак после запятой)</t>
        </is>
      </c>
      <c r="C2" s="9" t="n"/>
      <c r="D2" s="10" t="n">
        <v>1575.2</v>
      </c>
      <c r="E2" s="7">
        <f>IF(C2="","",IF(ABS(C2-D2)&lt;=0.5,"OK Верно","X Пересчитай"))</f>
        <v/>
      </c>
      <c r="F2" s="11" t="inlineStr">
        <is>
          <t>1 790 ₽ × (1 − 0,12) = 1 790 × 0,88 = 1 575,2 ₽.</t>
        </is>
      </c>
    </row>
    <row r="3" ht="32" customHeight="1">
      <c r="A3" s="7" t="n">
        <v>2</v>
      </c>
      <c r="B3" s="8" t="inlineStr">
        <is>
          <t>Рост заказов при скидке, % (один знак после запятой)</t>
        </is>
      </c>
      <c r="C3" s="12" t="n"/>
      <c r="D3" s="13" t="n">
        <v>18.1</v>
      </c>
      <c r="E3" s="7">
        <f>IF(C3="","",IF(ABS(C3-D3)&lt;=0.05,"OK Верно","X Пересчитай"))</f>
        <v/>
      </c>
      <c r="F3" s="11" t="inlineStr">
        <is>
          <t>(378 − 320) ÷ 320 × 100% = 18,125% ≈ 18,1%.</t>
        </is>
      </c>
    </row>
    <row r="4" ht="32" customHeight="1">
      <c r="A4" s="7" t="n">
        <v>3</v>
      </c>
      <c r="B4" s="8" t="inlineStr">
        <is>
          <t>Эластичность спроса по цене (два знака после запятой)</t>
        </is>
      </c>
      <c r="C4" s="14" t="n"/>
      <c r="D4" s="15" t="n">
        <v>1.51</v>
      </c>
      <c r="E4" s="7">
        <f>IF(C4="","",IF(ABS(C4-D4)&lt;=0.01,"OK Верно","X Пересчитай"))</f>
        <v/>
      </c>
      <c r="F4" s="11" t="inlineStr">
        <is>
          <t>Рост заказов 18,125% ÷ снижение цены 12% = 1,51. Больше 1 — спрос эластичен.</t>
        </is>
      </c>
    </row>
    <row r="5" ht="32" customHeight="1">
      <c r="A5" s="7" t="n">
        <v>4</v>
      </c>
      <c r="B5" s="8" t="inlineStr">
        <is>
          <t>Выручка за 28 дней при продаже по прайсной цене (320 заказов), ₽</t>
        </is>
      </c>
      <c r="C5" s="16" t="n"/>
      <c r="D5" s="17" t="n">
        <v>572800</v>
      </c>
      <c r="E5" s="7">
        <f>IF(C5="","",IF(ABS(C5-D5)&lt;=1,"OK Верно","X Пересчитай"))</f>
        <v/>
      </c>
      <c r="F5" s="11" t="inlineStr">
        <is>
          <t>320 заказов × 1 790 ₽ = 572 800 ₽.</t>
        </is>
      </c>
    </row>
    <row r="6" ht="32" customHeight="1">
      <c r="A6" s="7" t="n">
        <v>5</v>
      </c>
      <c r="B6" s="8" t="inlineStr">
        <is>
          <t>Рост выручки со скидкой к выручке без скидки, % (один знак после запятой)</t>
        </is>
      </c>
      <c r="C6" s="12" t="n"/>
      <c r="D6" s="13" t="n">
        <v>15.5</v>
      </c>
      <c r="E6" s="7">
        <f>IF(C6="","",IF(ABS(C6-D6)&lt;=0.05,"OK Верно","X Пересчитай"))</f>
        <v/>
      </c>
      <c r="F6" s="11" t="inlineStr">
        <is>
          <t>Выручка со скидкой = 378 × 1 750 ₽ = 661 500 ₽; (661 500 − 572 800) ÷ 572 800 = 15,5%.</t>
        </is>
      </c>
    </row>
    <row r="8">
      <c r="A8" s="18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Цена со скидкой</t>
        </is>
      </c>
      <c r="B2" s="8" t="inlineStr">
        <is>
          <t>прайс × (1 − скидка ÷ 100)</t>
        </is>
      </c>
    </row>
    <row r="3">
      <c r="A3" s="8" t="inlineStr">
        <is>
          <t>Величина скидки в ₽</t>
        </is>
      </c>
      <c r="B3" s="8" t="inlineStr">
        <is>
          <t>прайс − цена со скидкой</t>
        </is>
      </c>
    </row>
    <row r="4">
      <c r="A4" s="8" t="inlineStr">
        <is>
          <t>Рост заказов, %</t>
        </is>
      </c>
      <c r="B4" s="8" t="inlineStr">
        <is>
          <t>(заказы после − заказы до) ÷ заказы до × 100%</t>
        </is>
      </c>
    </row>
    <row r="5">
      <c r="A5" s="8" t="inlineStr">
        <is>
          <t>Эластичность спроса</t>
        </is>
      </c>
      <c r="B5" s="8" t="inlineStr">
        <is>
          <t>рост заказов, % ÷ снижение цены, % (в абсолюте)</t>
        </is>
      </c>
    </row>
    <row r="6">
      <c r="A6" s="8" t="inlineStr">
        <is>
          <t>Рост выручки, %</t>
        </is>
      </c>
      <c r="B6" s="8" t="inlineStr">
        <is>
          <t>(выручка после − выручка до) ÷ выручка до × 100%</t>
        </is>
      </c>
    </row>
    <row r="7">
      <c r="A7" s="8" t="inlineStr">
        <is>
          <t>Правило эластичности</t>
        </is>
      </c>
      <c r="B7" s="8" t="inlineStr">
        <is>
          <t>&gt; 1 — скидка даёт выручку; &lt; 1 — съедает выручку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