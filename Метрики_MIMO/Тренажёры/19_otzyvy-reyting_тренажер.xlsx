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Условия" sheetId="1" state="visible" r:id="rId1"/>
    <sheet xmlns:r="http://schemas.openxmlformats.org/officeDocument/2006/relationships" name="Задания" sheetId="2" state="visible" r:id="rId2"/>
    <sheet xmlns:r="http://schemas.openxmlformats.org/officeDocument/2006/relationships" name="Справка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##"/>
    <numFmt numFmtId="165" formatCode="0.0&quot;%&quot;"/>
  </numFmts>
  <fonts count="7">
    <font>
      <name val="Calibri"/>
      <family val="2"/>
      <color theme="1"/>
      <sz val="11"/>
      <scheme val="minor"/>
    </font>
    <font>
      <b val="1"/>
      <sz val="13"/>
    </font>
    <font>
      <i val="1"/>
      <color rgb="00555555"/>
    </font>
    <font>
      <b val="1"/>
      <sz val="11"/>
    </font>
    <font>
      <b val="1"/>
      <color rgb="00FFFFFF"/>
    </font>
    <font>
      <color rgb="00A9B7CC"/>
    </font>
    <font>
      <i val="1"/>
      <color rgb="00808080"/>
    </font>
  </fonts>
  <fills count="5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FF2CC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0B7C3"/>
      </left>
      <right style="thin">
        <color rgb="00B0B7C3"/>
      </right>
      <top style="thin">
        <color rgb="00B0B7C3"/>
      </top>
      <bottom style="thin">
        <color rgb="00B0B7C3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top" wrapText="1"/>
    </xf>
    <xf numFmtId="49" fontId="0" fillId="0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2" fontId="0" fillId="3" borderId="1" pivotButton="0" quotePrefix="0" xfId="0"/>
    <xf numFmtId="2" fontId="5" fillId="4" borderId="1" pivotButton="0" quotePrefix="0" xfId="0"/>
    <xf numFmtId="0" fontId="6" fillId="0" borderId="1" applyAlignment="1" pivotButton="0" quotePrefix="0" xfId="0">
      <alignment vertical="top" wrapText="1"/>
    </xf>
    <xf numFmtId="165" fontId="0" fillId="3" borderId="1" pivotButton="0" quotePrefix="0" xfId="0"/>
    <xf numFmtId="165" fontId="5" fillId="4" borderId="1" pivotButton="0" quotePrefix="0" xfId="0"/>
    <xf numFmtId="3" fontId="0" fillId="3" borderId="1" pivotButton="0" quotePrefix="0" xfId="0"/>
    <xf numFmtId="3" fontId="5" fillId="4" borderId="1" pivotButton="0" quotePrefix="0" xfId="0"/>
    <xf numFmtId="0" fontId="6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</cols>
  <sheetData>
    <row r="1">
      <c r="A1" s="1" t="inlineStr">
        <is>
          <t>Урок 19: Отзывы, рейтинг и вопросы покупателей — данные для заданий</t>
        </is>
      </c>
    </row>
    <row r="3">
      <c r="A3" s="2" t="inlineStr">
        <is>
          <t>Кейс курса: TRM-500 «Термокружка Arctic 500 мл» (бренд Nordvik, Wildberries), период — март 2026, 28 дней (4 недели).</t>
        </is>
      </c>
    </row>
    <row r="4">
      <c r="A4" s="2" t="inlineStr">
        <is>
          <t>Задания считаются по данным этого листа. Ответ — всегда число: проценты вводите числом (3,0 — это три процента), деньги — без пробелов и знака ₽.</t>
        </is>
      </c>
    </row>
    <row r="6">
      <c r="A6" s="3" t="inlineStr">
        <is>
          <t>Оценки покупателей TRM-500 (всего 86 отзывов)</t>
        </is>
      </c>
    </row>
    <row r="7">
      <c r="A7" s="4" t="inlineStr">
        <is>
          <t>Оценка</t>
        </is>
      </c>
      <c r="B7" s="4" t="inlineStr">
        <is>
          <t>Отзывов</t>
        </is>
      </c>
    </row>
    <row r="8">
      <c r="A8" s="5" t="inlineStr">
        <is>
          <t>5 звёзд</t>
        </is>
      </c>
      <c r="B8" s="6" t="n">
        <v>74</v>
      </c>
    </row>
    <row r="9">
      <c r="A9" s="5" t="inlineStr">
        <is>
          <t>4 звезды</t>
        </is>
      </c>
      <c r="B9" s="6" t="n">
        <v>8</v>
      </c>
    </row>
    <row r="10">
      <c r="A10" s="5" t="inlineStr">
        <is>
          <t>3 звезды</t>
        </is>
      </c>
      <c r="B10" s="6" t="n">
        <v>2</v>
      </c>
    </row>
    <row r="11">
      <c r="A11" s="5" t="inlineStr">
        <is>
          <t>2 звезды</t>
        </is>
      </c>
      <c r="B11" s="6" t="n">
        <v>1</v>
      </c>
    </row>
    <row r="12">
      <c r="A12" s="5" t="inlineStr">
        <is>
          <t>1 звезда</t>
        </is>
      </c>
      <c r="B12" s="6" t="n">
        <v>1</v>
      </c>
    </row>
    <row r="14">
      <c r="A14" s="3" t="inlineStr">
        <is>
          <t>Выкупы и цели</t>
        </is>
      </c>
    </row>
    <row r="15">
      <c r="A15" s="4" t="inlineStr">
        <is>
          <t>Показатель</t>
        </is>
      </c>
      <c r="B15" s="4" t="inlineStr">
        <is>
          <t>Значение</t>
        </is>
      </c>
    </row>
    <row r="16">
      <c r="A16" s="5" t="inlineStr">
        <is>
          <t>Выкуплено заказов</t>
        </is>
      </c>
      <c r="B16" s="7" t="n">
        <v>344</v>
      </c>
    </row>
    <row r="17">
      <c r="A17" s="5" t="inlineStr">
        <is>
          <t>Вопросов покупателей</t>
        </is>
      </c>
      <c r="B17" s="7" t="n">
        <v>40</v>
      </c>
    </row>
    <row r="18">
      <c r="A18" s="5" t="inlineStr">
        <is>
          <t>Цель: собрать отзывов</t>
        </is>
      </c>
      <c r="B18" s="7" t="n">
        <v>120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4" customWidth="1" min="3" max="3"/>
    <col width="16" customWidth="1" min="4" max="4"/>
    <col width="14" customWidth="1" min="5" max="5"/>
    <col width="52" customWidth="1" min="6" max="6"/>
  </cols>
  <sheetData>
    <row r="1">
      <c r="A1" s="4" t="inlineStr">
        <is>
          <t>№</t>
        </is>
      </c>
      <c r="B1" s="4" t="inlineStr">
        <is>
          <t>Задание</t>
        </is>
      </c>
      <c r="C1" s="4" t="inlineStr">
        <is>
          <t>Ваш ответ</t>
        </is>
      </c>
      <c r="D1" s="4" t="inlineStr">
        <is>
          <t>Правильный ответ</t>
        </is>
      </c>
      <c r="E1" s="4" t="inlineStr">
        <is>
          <t>Статус</t>
        </is>
      </c>
      <c r="F1" s="4" t="inlineStr">
        <is>
          <t>Подсказка (путь решения)</t>
        </is>
      </c>
    </row>
    <row r="2" ht="32" customHeight="1">
      <c r="A2" s="8" t="n">
        <v>1</v>
      </c>
      <c r="B2" s="9" t="inlineStr">
        <is>
          <t>Средняя оценка товара (два знака после запятой)</t>
        </is>
      </c>
      <c r="C2" s="10" t="n"/>
      <c r="D2" s="11" t="n">
        <v>4.78</v>
      </c>
      <c r="E2" s="8">
        <f>IF(C2="","",IF(ABS(C2-D2)&lt;=0.01,"OK Верно","X Пересчитай"))</f>
        <v/>
      </c>
      <c r="F2" s="12" t="inlineStr">
        <is>
          <t>(5×74 + 4×8 + 3×2 + 2×1 + 1×1) ÷ 86 = 411 ÷ 86 = 4,779 ≈ 4,78.</t>
        </is>
      </c>
    </row>
    <row r="3" ht="32" customHeight="1">
      <c r="A3" s="8" t="n">
        <v>2</v>
      </c>
      <c r="B3" s="9" t="inlineStr">
        <is>
          <t>Доля пятизвёздочных отзывов, % (один знак после запятой)</t>
        </is>
      </c>
      <c r="C3" s="13" t="n"/>
      <c r="D3" s="14" t="n">
        <v>86</v>
      </c>
      <c r="E3" s="8">
        <f>IF(C3="","",IF(ABS(C3-D3)&lt;=0.05,"OK Верно","X Пересчитай"))</f>
        <v/>
      </c>
      <c r="F3" s="12" t="inlineStr">
        <is>
          <t>74 ÷ 86 × 100% = 86,05% ≈ 86,0%.</t>
        </is>
      </c>
    </row>
    <row r="4" ht="32" customHeight="1">
      <c r="A4" s="8" t="n">
        <v>3</v>
      </c>
      <c r="B4" s="9" t="inlineStr">
        <is>
          <t>Индекс лояльности (5★ минус 1–2★), % (один знак после запятой)</t>
        </is>
      </c>
      <c r="C4" s="13" t="n"/>
      <c r="D4" s="14" t="n">
        <v>83.7</v>
      </c>
      <c r="E4" s="8">
        <f>IF(C4="","",IF(ABS(C4-D4)&lt;=0.05,"OK Верно","X Пересчитай"))</f>
        <v/>
      </c>
      <c r="F4" s="12" t="inlineStr">
        <is>
          <t>(74 − (1 + 1)) ÷ 86 × 100% = 72 ÷ 86 = 83,72% ≈ 83,7%.</t>
        </is>
      </c>
    </row>
    <row r="5" ht="32" customHeight="1">
      <c r="A5" s="8" t="n">
        <v>4</v>
      </c>
      <c r="B5" s="9" t="inlineStr">
        <is>
          <t>Отклик на отзывы: доля выкупивших, оставивших отзыв, % (один знак после запятой)</t>
        </is>
      </c>
      <c r="C5" s="13" t="n"/>
      <c r="D5" s="14" t="n">
        <v>25</v>
      </c>
      <c r="E5" s="8">
        <f>IF(C5="","",IF(ABS(C5-D5)&lt;=0.05,"OK Верно","X Пересчитай"))</f>
        <v/>
      </c>
      <c r="F5" s="12" t="inlineStr">
        <is>
          <t>86 ÷ 344 × 100% = 25,0%.</t>
        </is>
      </c>
    </row>
    <row r="6" ht="32" customHeight="1">
      <c r="A6" s="8" t="n">
        <v>5</v>
      </c>
      <c r="B6" s="9" t="inlineStr">
        <is>
          <t>Сколько выкупов нужно, чтобы собрать 120 отзывов при отклике 25%</t>
        </is>
      </c>
      <c r="C6" s="15" t="n"/>
      <c r="D6" s="16" t="n">
        <v>480</v>
      </c>
      <c r="E6" s="8">
        <f>IF(C6="","",IF(ABS(C6-D6)&lt;=0.5,"OK Верно","X Пересчитай"))</f>
        <v/>
      </c>
      <c r="F6" s="12" t="inlineStr">
        <is>
          <t>120 ÷ 0,25 = 480 выкупов.</t>
        </is>
      </c>
    </row>
    <row r="8">
      <c r="A8" s="17" t="inlineStr">
        <is>
          <t>Правильный ответ подкрашен — сначала решите сами. Проверка: |ваш ответ − правильный| ≤ допуск задания.</t>
        </is>
      </c>
    </row>
  </sheetData>
  <conditionalFormatting sqref="E2:E6">
    <cfRule type="expression" priority="1" dxfId="0">
      <formula>ISNUMBER(SEARCH("OK",E2))</formula>
    </cfRule>
    <cfRule type="expression" priority="2" dxfId="1">
      <formula>ISNUMBER(SEARCH("X",E2))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4" customWidth="1" min="1" max="1"/>
    <col width="74" customWidth="1" min="2" max="2"/>
  </cols>
  <sheetData>
    <row r="1">
      <c r="A1" s="4" t="inlineStr">
        <is>
          <t>Метрика / правило</t>
        </is>
      </c>
      <c r="B1" s="4" t="inlineStr">
        <is>
          <t>Формула</t>
        </is>
      </c>
    </row>
    <row r="2">
      <c r="A2" s="9" t="inlineStr">
        <is>
          <t>Средняя оценка</t>
        </is>
      </c>
      <c r="B2" s="9" t="inlineStr">
        <is>
          <t>Σ(оценка × количество отзывов с этой оценкой) ÷ все отзывы</t>
        </is>
      </c>
    </row>
    <row r="3">
      <c r="A3" s="9" t="inlineStr">
        <is>
          <t>Доля 5★</t>
        </is>
      </c>
      <c r="B3" s="9" t="inlineStr">
        <is>
          <t>отзывы 5★ ÷ все отзывы × 100%</t>
        </is>
      </c>
    </row>
    <row r="4">
      <c r="A4" s="9" t="inlineStr">
        <is>
          <t>Индекс лояльности</t>
        </is>
      </c>
      <c r="B4" s="9" t="inlineStr">
        <is>
          <t>(5★ − (1★ + 2★)) ÷ все отзывы × 100%</t>
        </is>
      </c>
    </row>
    <row r="5">
      <c r="A5" s="9" t="inlineStr">
        <is>
          <t>Отклик на отзывы</t>
        </is>
      </c>
      <c r="B5" s="9" t="inlineStr">
        <is>
          <t>отзывы ÷ выкупленные заказы × 100%</t>
        </is>
      </c>
    </row>
    <row r="6">
      <c r="A6" s="9" t="inlineStr">
        <is>
          <t>Прогноз отзывов</t>
        </is>
      </c>
      <c r="B6" s="9" t="inlineStr">
        <is>
          <t>ожидаемые выкупы × отклик ÷ 100</t>
        </is>
      </c>
    </row>
    <row r="7">
      <c r="A7" s="9" t="inlineStr">
        <is>
          <t>Заказов для N отзывов</t>
        </is>
      </c>
      <c r="B7" s="9" t="inlineStr">
        <is>
          <t>N ÷ (отклик ÷ 100)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2026-09-24T08:25:54Z</dcterms:created>
  <dcterms:modified xmlns:dcterms="http://purl.org/dc/terms/" xmlns:xsi="http://www.w3.org/2001/XMLSchema-instance" xsi:type="dcterms:W3CDTF">2026-09-24T08:25:54Z</dcterms:modified>
</cp:coreProperties>
</file>