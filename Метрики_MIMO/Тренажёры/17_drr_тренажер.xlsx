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0.0&quot;%&quot;"/>
    <numFmt numFmtId="166" formatCode="#,##0&quot; ₽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5" fontId="5" fillId="4" borderId="1" pivotButton="0" quotePrefix="0" xfId="0"/>
    <xf numFmtId="0" fontId="6" fillId="0" borderId="1" applyAlignment="1" pivotButton="0" quotePrefix="0" xfId="0">
      <alignment vertical="top" wrapText="1"/>
    </xf>
    <xf numFmtId="166" fontId="0" fillId="3" borderId="1" pivotButton="0" quotePrefix="0" xfId="0"/>
    <xf numFmtId="166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</cols>
  <sheetData>
    <row r="1">
      <c r="A1" s="1" t="inlineStr">
        <is>
          <t>Урок 17: DRR: доля рекламных расходов в выручке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Расходы и выручка TRM-500 за 28 дней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  <c r="C7" s="4" t="inlineStr">
        <is>
          <t>Ед.</t>
        </is>
      </c>
    </row>
    <row r="8">
      <c r="A8" s="5" t="inlineStr">
        <is>
          <t>Расход на рекламу</t>
        </is>
      </c>
      <c r="B8" s="6" t="n">
        <v>27000</v>
      </c>
      <c r="C8" s="5" t="inlineStr">
        <is>
          <t>₽</t>
        </is>
      </c>
    </row>
    <row r="9">
      <c r="A9" s="5" t="inlineStr">
        <is>
          <t>Выручка (GMV), всего</t>
        </is>
      </c>
      <c r="B9" s="6" t="n">
        <v>661500</v>
      </c>
      <c r="C9" s="5" t="inlineStr">
        <is>
          <t>₽</t>
        </is>
      </c>
    </row>
    <row r="10">
      <c r="A10" s="5" t="inlineStr">
        <is>
          <t>Заказы</t>
        </is>
      </c>
      <c r="B10" s="6" t="n">
        <v>378</v>
      </c>
      <c r="C10" s="5" t="inlineStr">
        <is>
          <t>шт</t>
        </is>
      </c>
    </row>
    <row r="11">
      <c r="A11" s="5" t="inlineStr">
        <is>
          <t>Выкуплено заказов</t>
        </is>
      </c>
      <c r="B11" s="6" t="n">
        <v>344</v>
      </c>
      <c r="C11" s="5" t="inlineStr">
        <is>
          <t>шт</t>
        </is>
      </c>
    </row>
    <row r="12">
      <c r="A12" s="5" t="inlineStr">
        <is>
          <t>Средний чек</t>
        </is>
      </c>
      <c r="B12" s="6" t="n">
        <v>1750</v>
      </c>
      <c r="C12" s="5" t="inlineStr">
        <is>
          <t>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DRR по выручке заказов, % (один знак после запятой)</t>
        </is>
      </c>
      <c r="C2" s="9" t="n"/>
      <c r="D2" s="10" t="n">
        <v>4.1</v>
      </c>
      <c r="E2" s="7">
        <f>IF(C2="","",IF(ABS(C2-D2)&lt;=0.05,"OK Верно","X Пересчитай"))</f>
        <v/>
      </c>
      <c r="F2" s="11" t="inlineStr">
        <is>
          <t>27 000 ÷ 661 500 × 100% = 4,08% ≈ 4,1%.</t>
        </is>
      </c>
    </row>
    <row r="3" ht="32" customHeight="1">
      <c r="A3" s="7" t="n">
        <v>2</v>
      </c>
      <c r="B3" s="8" t="inlineStr">
        <is>
          <t>Какой бюджет допустим при целевом DRR 10% на выручку 661 500 ₽, ₽</t>
        </is>
      </c>
      <c r="C3" s="12" t="n"/>
      <c r="D3" s="13" t="n">
        <v>66150</v>
      </c>
      <c r="E3" s="7">
        <f>IF(C3="","",IF(ABS(C3-D3)&lt;=1,"OK Верно","X Пересчитай"))</f>
        <v/>
      </c>
      <c r="F3" s="11" t="inlineStr">
        <is>
          <t>661 500 × 10% = 66 150 ₽.</t>
        </is>
      </c>
    </row>
    <row r="4" ht="32" customHeight="1">
      <c r="A4" s="7" t="n">
        <v>3</v>
      </c>
      <c r="B4" s="8" t="inlineStr">
        <is>
          <t>Сколько нужно выручки, чтобы при бюджете 27 000 ₽ удержать DRR 5%, ₽</t>
        </is>
      </c>
      <c r="C4" s="12" t="n"/>
      <c r="D4" s="13" t="n">
        <v>540000</v>
      </c>
      <c r="E4" s="7">
        <f>IF(C4="","",IF(ABS(C4-D4)&lt;=1,"OK Верно","X Пересчитай"))</f>
        <v/>
      </c>
      <c r="F4" s="11" t="inlineStr">
        <is>
          <t>27 000 ÷ 5% = 27 000 ÷ 0,05 = 540 000 ₽.</t>
        </is>
      </c>
    </row>
    <row r="5" ht="32" customHeight="1">
      <c r="A5" s="7" t="n">
        <v>4</v>
      </c>
      <c r="B5" s="8" t="inlineStr">
        <is>
          <t>DRR по выкупленной выручке (344 выкупа × 1 750 ₽), % (один знак после запятой)</t>
        </is>
      </c>
      <c r="C5" s="9" t="n"/>
      <c r="D5" s="10" t="n">
        <v>4.5</v>
      </c>
      <c r="E5" s="7">
        <f>IF(C5="","",IF(ABS(C5-D5)&lt;=0.05,"OK Верно","X Пересчитай"))</f>
        <v/>
      </c>
      <c r="F5" s="11" t="inlineStr">
        <is>
          <t>Выручка выкупов = 602 000 ₽; 27 000 ÷ 602 000 × 100% = 4,49% ≈ 4,5%.</t>
        </is>
      </c>
    </row>
    <row r="6" ht="32" customHeight="1">
      <c r="A6" s="7" t="n">
        <v>5</v>
      </c>
      <c r="B6" s="8" t="inlineStr">
        <is>
          <t>Сколько нужно выручки, чтобы при бюджете 60 000 ₽ удержать DRR 5%, ₽</t>
        </is>
      </c>
      <c r="C6" s="12" t="n"/>
      <c r="D6" s="13" t="n">
        <v>1200000</v>
      </c>
      <c r="E6" s="7">
        <f>IF(C6="","",IF(ABS(C6-D6)&lt;=1,"OK Верно","X Пересчитай"))</f>
        <v/>
      </c>
      <c r="F6" s="11" t="inlineStr">
        <is>
          <t>60 000 ÷ 0,05 = 1 200 000 ₽.</t>
        </is>
      </c>
    </row>
    <row r="8">
      <c r="A8" s="14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DRR</t>
        </is>
      </c>
      <c r="B2" s="8" t="inlineStr">
        <is>
          <t>расход на рекламу ÷ выручка × 100%</t>
        </is>
      </c>
    </row>
    <row r="3">
      <c r="A3" s="8" t="inlineStr">
        <is>
          <t>DRR по выкупам</t>
        </is>
      </c>
      <c r="B3" s="8" t="inlineStr">
        <is>
          <t>расход ÷ (выкупленные заказы × средний чек) × 100%</t>
        </is>
      </c>
    </row>
    <row r="4">
      <c r="A4" s="8" t="inlineStr">
        <is>
          <t>Бюджет при целевом DRR</t>
        </is>
      </c>
      <c r="B4" s="8" t="inlineStr">
        <is>
          <t>выручка × (целевой DRR ÷ 100)</t>
        </is>
      </c>
    </row>
    <row r="5">
      <c r="A5" s="8" t="inlineStr">
        <is>
          <t>Выручка для целевого DRR</t>
        </is>
      </c>
      <c r="B5" s="8" t="inlineStr">
        <is>
          <t>бюджет ÷ (целевой DRR ÷ 100)</t>
        </is>
      </c>
    </row>
    <row r="6">
      <c r="A6" s="8" t="inlineStr">
        <is>
          <t>Связь с ROAS</t>
        </is>
      </c>
      <c r="B6" s="8" t="inlineStr">
        <is>
          <t>DRR % ≈ 100 ÷ ROAS при одном и том же знаменателе</t>
        </is>
      </c>
    </row>
    <row r="7">
      <c r="A7" s="8" t="inlineStr">
        <is>
          <t>Порог убытка</t>
        </is>
      </c>
      <c r="B7" s="8" t="inlineStr">
        <is>
          <t>DRR выше маржинальности = работа в минус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