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0&quot;%&quot;"/>
    <numFmt numFmtId="166" formatCode="#,##0.0&quot; ₽&quot;"/>
    <numFmt numFmtId="167" formatCode="#,##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166" fontId="0" fillId="3" borderId="1" pivotButton="0" quotePrefix="0" xfId="0"/>
    <xf numFmtId="166" fontId="5" fillId="4" borderId="1" pivotButton="0" quotePrefix="0" xfId="0"/>
    <xf numFmtId="3" fontId="0" fillId="3" borderId="1" pivotButton="0" quotePrefix="0" xfId="0"/>
    <xf numFmtId="3" fontId="5" fillId="4" borderId="1" pivotButton="0" quotePrefix="0" xfId="0"/>
    <xf numFmtId="167" fontId="0" fillId="3" borderId="1" pivotButton="0" quotePrefix="0" xfId="0"/>
    <xf numFmtId="167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Урок 15: Реклама: показы, клики, CTR и CPC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Рекламная кампания TRM-500 за 28 дней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Показы рекламы</t>
        </is>
      </c>
      <c r="B8" s="6" t="n">
        <v>45000</v>
      </c>
    </row>
    <row r="9">
      <c r="A9" s="5" t="inlineStr">
        <is>
          <t>Клики из рекламы</t>
        </is>
      </c>
      <c r="B9" s="6" t="n">
        <v>1350</v>
      </c>
    </row>
    <row r="10">
      <c r="A10" s="5" t="inlineStr">
        <is>
          <t>Расход на рекламу, ₽</t>
        </is>
      </c>
      <c r="B10" s="6" t="n">
        <v>27000</v>
      </c>
    </row>
    <row r="11">
      <c r="A11" s="5" t="inlineStr">
        <is>
          <t>Показы карточки всего (реклама + органика)</t>
        </is>
      </c>
      <c r="B11" s="6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CTR рекламной кампании, % (один знак после запятой)</t>
        </is>
      </c>
      <c r="C2" s="9" t="n"/>
      <c r="D2" s="10" t="n">
        <v>3</v>
      </c>
      <c r="E2" s="7">
        <f>IF(C2="","",IF(ABS(C2-D2)&lt;=0.05,"OK Верно","X Пересчитай"))</f>
        <v/>
      </c>
      <c r="F2" s="11" t="inlineStr">
        <is>
          <t>1 350 ÷ 45 000 × 100% = 3,0%.</t>
        </is>
      </c>
    </row>
    <row r="3" ht="32" customHeight="1">
      <c r="A3" s="7" t="n">
        <v>2</v>
      </c>
      <c r="B3" s="8" t="inlineStr">
        <is>
          <t>Средняя стоимость клика (CPC), ₽ (один знак после запятой)</t>
        </is>
      </c>
      <c r="C3" s="12" t="n"/>
      <c r="D3" s="13" t="n">
        <v>20</v>
      </c>
      <c r="E3" s="7">
        <f>IF(C3="","",IF(ABS(C3-D3)&lt;=0.1,"OK Верно","X Пересчитай"))</f>
        <v/>
      </c>
      <c r="F3" s="11" t="inlineStr">
        <is>
          <t>27 000 ₽ ÷ 1 350 кликов = 20,0 ₽ за клик.</t>
        </is>
      </c>
    </row>
    <row r="4" ht="32" customHeight="1">
      <c r="A4" s="7" t="n">
        <v>3</v>
      </c>
      <c r="B4" s="8" t="inlineStr">
        <is>
          <t>Какую долю всех показов карточки дала реклама, % (один знак после запятой)</t>
        </is>
      </c>
      <c r="C4" s="9" t="n"/>
      <c r="D4" s="10" t="n">
        <v>37.5</v>
      </c>
      <c r="E4" s="7">
        <f>IF(C4="","",IF(ABS(C4-D4)&lt;=0.05,"OK Верно","X Пересчитай"))</f>
        <v/>
      </c>
      <c r="F4" s="11" t="inlineStr">
        <is>
          <t>45 000 ÷ 120 000 × 100% = 37,5%.</t>
        </is>
      </c>
    </row>
    <row r="5" ht="32" customHeight="1">
      <c r="A5" s="7" t="n">
        <v>4</v>
      </c>
      <c r="B5" s="8" t="inlineStr">
        <is>
          <t>Сколько кликов купил бы бюджет 27 000 ₽ при CPC 24 ₽</t>
        </is>
      </c>
      <c r="C5" s="14" t="n"/>
      <c r="D5" s="15" t="n">
        <v>1125</v>
      </c>
      <c r="E5" s="7">
        <f>IF(C5="","",IF(ABS(C5-D5)&lt;=0.5,"OK Верно","X Пересчитай"))</f>
        <v/>
      </c>
      <c r="F5" s="11" t="inlineStr">
        <is>
          <t>27 000 ÷ 24 = 1 125 кликов.</t>
        </is>
      </c>
    </row>
    <row r="6" ht="32" customHeight="1">
      <c r="A6" s="7" t="n">
        <v>5</v>
      </c>
      <c r="B6" s="8" t="inlineStr">
        <is>
          <t>Сколько кликов купил бы тот же бюджет при CPC 16 ₽ (один знак после запятой)</t>
        </is>
      </c>
      <c r="C6" s="16" t="n"/>
      <c r="D6" s="17" t="n">
        <v>1687.5</v>
      </c>
      <c r="E6" s="7">
        <f>IF(C6="","",IF(ABS(C6-D6)&lt;=0.5,"OK Верно","X Пересчитай"))</f>
        <v/>
      </c>
      <c r="F6" s="11" t="inlineStr">
        <is>
          <t>27 000 ÷ 16 = 1 687,5 клика.</t>
        </is>
      </c>
    </row>
    <row r="8">
      <c r="A8" s="18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CTR рекламы</t>
        </is>
      </c>
      <c r="B2" s="8" t="inlineStr">
        <is>
          <t>клики из рекламы ÷ показы рекламы × 100%</t>
        </is>
      </c>
    </row>
    <row r="3">
      <c r="A3" s="8" t="inlineStr">
        <is>
          <t>CPC</t>
        </is>
      </c>
      <c r="B3" s="8" t="inlineStr">
        <is>
          <t>расход на рекламу ÷ клики из рекламы</t>
        </is>
      </c>
    </row>
    <row r="4">
      <c r="A4" s="8" t="inlineStr">
        <is>
          <t>Доля рекламных показов</t>
        </is>
      </c>
      <c r="B4" s="8" t="inlineStr">
        <is>
          <t>показы рекламы ÷ все показы карточки × 100%</t>
        </is>
      </c>
    </row>
    <row r="5">
      <c r="A5" s="8" t="inlineStr">
        <is>
          <t>Клики при заданном CPC</t>
        </is>
      </c>
      <c r="B5" s="8" t="inlineStr">
        <is>
          <t>бюджет ÷ CPC</t>
        </is>
      </c>
    </row>
    <row r="6">
      <c r="A6" s="8" t="inlineStr">
        <is>
          <t>Качество в аукционе</t>
        </is>
      </c>
      <c r="B6" s="8" t="inlineStr">
        <is>
          <t>выше CTR и конверсия карточки → дешевле клик при той же ставке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