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#,##0.0&quot; ₽&quot;"/>
    <numFmt numFmtId="166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166" fontId="0" fillId="3" borderId="1" pivotButton="0" quotePrefix="0" xfId="0"/>
    <xf numFmtId="166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Урок 14: Юнит-экономика карточки: маржа на единицу и заказ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Цена и затраты на единицу товара TRM-500</t>
        </is>
      </c>
    </row>
    <row r="7">
      <c r="A7" s="4" t="inlineStr">
        <is>
          <t>Статья</t>
        </is>
      </c>
      <c r="B7" s="4" t="inlineStr">
        <is>
          <t>Значение</t>
        </is>
      </c>
      <c r="C7" s="4" t="inlineStr">
        <is>
          <t>Ед.</t>
        </is>
      </c>
    </row>
    <row r="8">
      <c r="A8" s="5" t="inlineStr">
        <is>
          <t>Цена продажи за единицу (ASP)</t>
        </is>
      </c>
      <c r="B8" s="6" t="n">
        <v>1575</v>
      </c>
      <c r="C8" s="5" t="inlineStr">
        <is>
          <t>₽</t>
        </is>
      </c>
    </row>
    <row r="9">
      <c r="A9" s="5" t="inlineStr">
        <is>
          <t>Закупка</t>
        </is>
      </c>
      <c r="B9" s="6" t="n">
        <v>620</v>
      </c>
      <c r="C9" s="5" t="inlineStr">
        <is>
          <t>₽</t>
        </is>
      </c>
    </row>
    <row r="10">
      <c r="A10" s="5" t="inlineStr">
        <is>
          <t>Логистика до клиента</t>
        </is>
      </c>
      <c r="B10" s="6" t="n">
        <v>195</v>
      </c>
      <c r="C10" s="5" t="inlineStr">
        <is>
          <t>₽</t>
        </is>
      </c>
    </row>
    <row r="11">
      <c r="A11" s="5" t="inlineStr">
        <is>
          <t>Упаковка</t>
        </is>
      </c>
      <c r="B11" s="6" t="n">
        <v>22</v>
      </c>
      <c r="C11" s="5" t="inlineStr">
        <is>
          <t>₽</t>
        </is>
      </c>
    </row>
    <row r="12">
      <c r="A12" s="5" t="inlineStr">
        <is>
          <t>Хранение</t>
        </is>
      </c>
      <c r="B12" s="6" t="n">
        <v>28</v>
      </c>
      <c r="C12" s="5" t="inlineStr">
        <is>
          <t>₽</t>
        </is>
      </c>
    </row>
    <row r="13">
      <c r="A13" s="5" t="inlineStr">
        <is>
          <t>Комиссия маркетплейса</t>
        </is>
      </c>
      <c r="B13" s="6" t="n">
        <v>15</v>
      </c>
      <c r="C13" s="5" t="inlineStr">
        <is>
          <t>% от цены</t>
        </is>
      </c>
    </row>
    <row r="14">
      <c r="A14" s="5" t="inlineStr">
        <is>
          <t>Резерв на возвраты</t>
        </is>
      </c>
      <c r="B14" s="6" t="n">
        <v>45</v>
      </c>
      <c r="C14" s="5" t="inlineStr">
        <is>
          <t>₽</t>
        </is>
      </c>
    </row>
    <row r="15">
      <c r="A15" s="5" t="inlineStr">
        <is>
          <t>Заказов за период</t>
        </is>
      </c>
      <c r="B15" s="6" t="n">
        <v>378</v>
      </c>
      <c r="C15" s="5" t="inlineStr">
        <is>
          <t>шт</t>
        </is>
      </c>
    </row>
    <row r="16">
      <c r="A16" s="5" t="inlineStr">
        <is>
          <t>Продано единиц товара</t>
        </is>
      </c>
      <c r="B16" s="6" t="n">
        <v>420</v>
      </c>
      <c r="C16" s="5" t="inlineStr">
        <is>
          <t>шт</t>
        </is>
      </c>
    </row>
    <row r="18">
      <c r="A18" s="3" t="inlineStr">
        <is>
          <t>Реклама за период</t>
        </is>
      </c>
    </row>
    <row r="19">
      <c r="A19" s="4" t="inlineStr">
        <is>
          <t>Показатель</t>
        </is>
      </c>
      <c r="B19" s="4" t="inlineStr">
        <is>
          <t>Значение</t>
        </is>
      </c>
    </row>
    <row r="20">
      <c r="A20" s="5" t="inlineStr">
        <is>
          <t>Расход на рекламу, ₽</t>
        </is>
      </c>
      <c r="B20" s="6" t="n">
        <v>27000</v>
      </c>
    </row>
    <row r="21">
      <c r="A21" s="5" t="inlineStr">
        <is>
          <t>Заказов из рекламы</t>
        </is>
      </c>
      <c r="B21" s="6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Комиссия маркетплейса с одной единицы товара, ₽ (один знак после запятой)</t>
        </is>
      </c>
      <c r="C2" s="9" t="n"/>
      <c r="D2" s="10" t="n">
        <v>236.3</v>
      </c>
      <c r="E2" s="7">
        <f>IF(C2="","",IF(ABS(C2-D2)&lt;=0.1,"OK Верно","X Пересчитай"))</f>
        <v/>
      </c>
      <c r="F2" s="11" t="inlineStr">
        <is>
          <t>1 575 ₽ × 15% = 236,25 ₽ ≈ 236,3 ₽.</t>
        </is>
      </c>
    </row>
    <row r="3" ht="32" customHeight="1">
      <c r="A3" s="7" t="n">
        <v>2</v>
      </c>
      <c r="B3" s="8" t="inlineStr">
        <is>
          <t>Маржа на одну единицу товара (после всех затрат), ₽ (один знак после запятой)</t>
        </is>
      </c>
      <c r="C3" s="9" t="n"/>
      <c r="D3" s="10" t="n">
        <v>428.8</v>
      </c>
      <c r="E3" s="7">
        <f>IF(C3="","",IF(ABS(C3-D3)&lt;=0.1,"OK Верно","X Пересчитай"))</f>
        <v/>
      </c>
      <c r="F3" s="11" t="inlineStr">
        <is>
          <t>1 575 − 620 − 195 − 22 − 28 − 236,25 − 45 = 428,75 ≈ 428,8 ₽.</t>
        </is>
      </c>
    </row>
    <row r="4" ht="32" customHeight="1">
      <c r="A4" s="7" t="n">
        <v>3</v>
      </c>
      <c r="B4" s="8" t="inlineStr">
        <is>
          <t>Маржинальность единицы товара, % (один знак после запятой)</t>
        </is>
      </c>
      <c r="C4" s="12" t="n"/>
      <c r="D4" s="13" t="n">
        <v>27.2</v>
      </c>
      <c r="E4" s="7">
        <f>IF(C4="","",IF(ABS(C4-D4)&lt;=0.05,"OK Верно","X Пересчитай"))</f>
        <v/>
      </c>
      <c r="F4" s="11" t="inlineStr">
        <is>
          <t>428,75 ÷ 1 575 × 100% = 27,22% ≈ 27,2%.</t>
        </is>
      </c>
    </row>
    <row r="5" ht="32" customHeight="1">
      <c r="A5" s="7" t="n">
        <v>4</v>
      </c>
      <c r="B5" s="8" t="inlineStr">
        <is>
          <t>Маржа на один заказ (420 единиц на 378 заказов), ₽ (один знак после запятой)</t>
        </is>
      </c>
      <c r="C5" s="9" t="n"/>
      <c r="D5" s="10" t="n">
        <v>476.4</v>
      </c>
      <c r="E5" s="7">
        <f>IF(C5="","",IF(ABS(C5-D5)&lt;=0.1,"OK Верно","X Пересчитай"))</f>
        <v/>
      </c>
      <c r="F5" s="11" t="inlineStr">
        <is>
          <t>Маржа/ед 428,75 ₽ × 1,1111 ед./заказ = 476,39 ≈ 476,4 ₽.</t>
        </is>
      </c>
    </row>
    <row r="6" ht="32" customHeight="1">
      <c r="A6" s="7" t="n">
        <v>5</v>
      </c>
      <c r="B6" s="8" t="inlineStr">
        <is>
          <t>Сколько маржи остаётся на заказ после списания CPO 214,3 ₽ (27 000 ₽ ÷ 126 заказов), ₽ (один знак после запятой)</t>
        </is>
      </c>
      <c r="C6" s="9" t="n"/>
      <c r="D6" s="10" t="n">
        <v>262.1</v>
      </c>
      <c r="E6" s="7">
        <f>IF(C6="","",IF(ABS(C6-D6)&lt;=0.1,"OK Верно","X Пересчитай"))</f>
        <v/>
      </c>
      <c r="F6" s="11" t="inlineStr">
        <is>
          <t>476,39 − 214,29 = 262,10 ≈ 262,1 ₽ на заказ.</t>
        </is>
      </c>
    </row>
    <row r="8">
      <c r="A8" s="14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Комиссия с единицы</t>
        </is>
      </c>
      <c r="B2" s="8" t="inlineStr">
        <is>
          <t>ASP × комиссия % ÷ 100</t>
        </is>
      </c>
    </row>
    <row r="3">
      <c r="A3" s="8" t="inlineStr">
        <is>
          <t>Маржа на единицу</t>
        </is>
      </c>
      <c r="B3" s="8" t="inlineStr">
        <is>
          <t>ASP − закупка − логистика − упаковка − хранение − комиссия − резерв на возвраты</t>
        </is>
      </c>
    </row>
    <row r="4">
      <c r="A4" s="8" t="inlineStr">
        <is>
          <t>Маржинальность</t>
        </is>
      </c>
      <c r="B4" s="8" t="inlineStr">
        <is>
          <t>маржа на единицу ÷ ASP × 100%</t>
        </is>
      </c>
    </row>
    <row r="5">
      <c r="A5" s="8" t="inlineStr">
        <is>
          <t>Маржа на заказ</t>
        </is>
      </c>
      <c r="B5" s="8" t="inlineStr">
        <is>
          <t>маржа на единицу × (единицы ÷ заказы)</t>
        </is>
      </c>
    </row>
    <row r="6">
      <c r="A6" s="8" t="inlineStr">
        <is>
          <t>Маржа после рекламы</t>
        </is>
      </c>
      <c r="B6" s="8" t="inlineStr">
        <is>
          <t>маржа на заказ − CPO</t>
        </is>
      </c>
    </row>
    <row r="7">
      <c r="A7" s="8" t="inlineStr">
        <is>
          <t>Потолок CPO</t>
        </is>
      </c>
      <c r="B7" s="8" t="inlineStr">
        <is>
          <t>маржа на заказ при нулевой прибыли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