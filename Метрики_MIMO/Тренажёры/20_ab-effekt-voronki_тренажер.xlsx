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0"/>
    <numFmt numFmtId="166" formatCode="0.0&quot;%&quot;"/>
    <numFmt numFmtId="167" formatCode="#,##0&quot; ₽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166" fontId="0" fillId="3" borderId="1" pivotButton="0" quotePrefix="0" xfId="0"/>
    <xf numFmtId="166" fontId="5" fillId="4" borderId="1" pivotButton="0" quotePrefix="0" xfId="0"/>
    <xf numFmtId="3" fontId="0" fillId="3" borderId="1" pivotButton="0" quotePrefix="0" xfId="0"/>
    <xf numFmtId="3" fontId="5" fillId="4" borderId="1" pivotButton="0" quotePrefix="0" xfId="0"/>
    <xf numFmtId="167" fontId="0" fillId="3" borderId="1" pivotButton="0" quotePrefix="0" xfId="0"/>
    <xf numFmtId="167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Урок 20: A/B-тесты: считаем эффект по всей воронке (итоговый)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A/B-тест обложки карточки (4 недели)</t>
        </is>
      </c>
    </row>
    <row r="7">
      <c r="A7" s="4" t="inlineStr">
        <is>
          <t>Вариант обложки</t>
        </is>
      </c>
      <c r="B7" s="4" t="inlineStr">
        <is>
          <t>Показы</t>
        </is>
      </c>
      <c r="C7" s="4" t="inlineStr">
        <is>
          <t>Клики</t>
        </is>
      </c>
    </row>
    <row r="8">
      <c r="A8" s="5" t="inlineStr">
        <is>
          <t>A — текущее фото</t>
        </is>
      </c>
      <c r="B8" s="6" t="n">
        <v>120000</v>
      </c>
      <c r="C8" s="6" t="n">
        <v>3600</v>
      </c>
    </row>
    <row r="9">
      <c r="A9" s="5" t="inlineStr">
        <is>
          <t>B — новое фото (товар крупнее + надпись)</t>
        </is>
      </c>
      <c r="B9" s="6" t="n">
        <v>25000</v>
      </c>
      <c r="C9" s="6" t="n">
        <v>900</v>
      </c>
    </row>
    <row r="11">
      <c r="A11" s="3" t="inlineStr">
        <is>
          <t>Воронка TRM-500 за период (текущие конверсии)</t>
        </is>
      </c>
    </row>
    <row r="12">
      <c r="A12" s="4" t="inlineStr">
        <is>
          <t>Показатель</t>
        </is>
      </c>
      <c r="B12" s="4" t="inlineStr">
        <is>
          <t>Значение</t>
        </is>
      </c>
    </row>
    <row r="13">
      <c r="A13" s="5" t="inlineStr">
        <is>
          <t>Просмотры карточки (факт)</t>
        </is>
      </c>
      <c r="B13" s="7" t="n">
        <v>3600</v>
      </c>
    </row>
    <row r="14">
      <c r="A14" s="5" t="inlineStr">
        <is>
          <t>Добавления в корзину (факт)</t>
        </is>
      </c>
      <c r="B14" s="7" t="n">
        <v>540</v>
      </c>
    </row>
    <row r="15">
      <c r="A15" s="5" t="inlineStr">
        <is>
          <t>Заказы (факт)</t>
        </is>
      </c>
      <c r="B15" s="7" t="n">
        <v>378</v>
      </c>
    </row>
    <row r="16">
      <c r="A16" s="5" t="inlineStr">
        <is>
          <t>Средний чек, ₽</t>
        </is>
      </c>
      <c r="B16" s="7" t="n">
        <v>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8" t="n">
        <v>1</v>
      </c>
      <c r="B2" s="9" t="inlineStr">
        <is>
          <t>Аплифт CTR (B к A) в процентных пунктах (один знак после запятой)</t>
        </is>
      </c>
      <c r="C2" s="10" t="n"/>
      <c r="D2" s="11" t="n">
        <v>0.6</v>
      </c>
      <c r="E2" s="8">
        <f>IF(C2="","",IF(ABS(C2-D2)&lt;=0.05,"OK Верно","X Пересчитай"))</f>
        <v/>
      </c>
      <c r="F2" s="12" t="inlineStr">
        <is>
          <t>CTR A = 3,0%, CTR B = 3,6%; 3,6 − 3,0 = 0,6 пп.</t>
        </is>
      </c>
    </row>
    <row r="3" ht="32" customHeight="1">
      <c r="A3" s="8" t="n">
        <v>2</v>
      </c>
      <c r="B3" s="9" t="inlineStr">
        <is>
          <t>Аплифт CTR (B к A) в процентах (один знак после запятой)</t>
        </is>
      </c>
      <c r="C3" s="13" t="n"/>
      <c r="D3" s="14" t="n">
        <v>20</v>
      </c>
      <c r="E3" s="8">
        <f>IF(C3="","",IF(ABS(C3-D3)&lt;=0.05,"OK Верно","X Пересчитай"))</f>
        <v/>
      </c>
      <c r="F3" s="12" t="inlineStr">
        <is>
          <t>(3,6 − 3,0) ÷ 3,0 × 100% = 20,0%.</t>
        </is>
      </c>
    </row>
    <row r="4" ht="32" customHeight="1">
      <c r="A4" s="8" t="n">
        <v>3</v>
      </c>
      <c r="B4" s="9" t="inlineStr">
        <is>
          <t>Сколько кликов даст обложка B на объёме 120 000 показов</t>
        </is>
      </c>
      <c r="C4" s="15" t="n"/>
      <c r="D4" s="16" t="n">
        <v>4320</v>
      </c>
      <c r="E4" s="8">
        <f>IF(C4="","",IF(ABS(C4-D4)&lt;=0.05,"OK Верно","X Пересчитай"))</f>
        <v/>
      </c>
      <c r="F4" s="12" t="inlineStr">
        <is>
          <t>120 000 × 3,6% = 4 320 кликов (против фактических 3 600).</t>
        </is>
      </c>
    </row>
    <row r="5" ht="32" customHeight="1">
      <c r="A5" s="8" t="n">
        <v>4</v>
      </c>
      <c r="B5" s="9" t="inlineStr">
        <is>
          <t>На сколько добавлений в корзину вырастет воронка (доп. просмотры × CR 15,0%)</t>
        </is>
      </c>
      <c r="C5" s="15" t="n"/>
      <c r="D5" s="16" t="n">
        <v>108</v>
      </c>
      <c r="E5" s="8">
        <f>IF(C5="","",IF(ABS(C5-D5)&lt;=0.5,"OK Верно","X Пересчитай"))</f>
        <v/>
      </c>
      <c r="F5" s="12" t="inlineStr">
        <is>
          <t>Доп. просмотры = 4 320 − 3 600 = 720; 720 × 15% = 108 корзин.</t>
        </is>
      </c>
    </row>
    <row r="6" ht="32" customHeight="1">
      <c r="A6" s="8" t="n">
        <v>5</v>
      </c>
      <c r="B6" s="9" t="inlineStr">
        <is>
          <t>На сколько вырастет выручка за 28 дней: доп. корзины × CR заказа 70% × средний чек 1 750 ₽</t>
        </is>
      </c>
      <c r="C6" s="17" t="n"/>
      <c r="D6" s="18" t="n">
        <v>132300</v>
      </c>
      <c r="E6" s="8">
        <f>IF(C6="","",IF(ABS(C6-D6)&lt;=1,"OK Верно","X Пересчитай"))</f>
        <v/>
      </c>
      <c r="F6" s="12" t="inlineStr">
        <is>
          <t>108 × 0,70 = 75,6 заказа; 75,6 × 1 750 ₽ = 132 300 ₽.</t>
        </is>
      </c>
    </row>
    <row r="8">
      <c r="A8" s="19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9" t="inlineStr">
        <is>
          <t>Аплифт в пп</t>
        </is>
      </c>
      <c r="B2" s="9" t="inlineStr">
        <is>
          <t>CTR нового − CTR старого</t>
        </is>
      </c>
    </row>
    <row r="3">
      <c r="A3" s="9" t="inlineStr">
        <is>
          <t>Аплифт в %</t>
        </is>
      </c>
      <c r="B3" s="9" t="inlineStr">
        <is>
          <t>(CTR нового − CTR старого) ÷ CTR старого × 100%</t>
        </is>
      </c>
    </row>
    <row r="4">
      <c r="A4" s="9" t="inlineStr">
        <is>
          <t>Клики победителя</t>
        </is>
      </c>
      <c r="B4" s="9" t="inlineStr">
        <is>
          <t>показы × (CTR победителя ÷ 100)</t>
        </is>
      </c>
    </row>
    <row r="5">
      <c r="A5" s="9" t="inlineStr">
        <is>
          <t>Доп. просмотры</t>
        </is>
      </c>
      <c r="B5" s="9" t="inlineStr">
        <is>
          <t>клики победителя − фактические клики</t>
        </is>
      </c>
    </row>
    <row r="6">
      <c r="A6" s="9" t="inlineStr">
        <is>
          <t>Доп. корзины</t>
        </is>
      </c>
      <c r="B6" s="9" t="inlineStr">
        <is>
          <t>доп. просмотры × (CR в корзину ÷ 100)</t>
        </is>
      </c>
    </row>
    <row r="7">
      <c r="A7" s="9" t="inlineStr">
        <is>
          <t>Доп. заказы</t>
        </is>
      </c>
      <c r="B7" s="9" t="inlineStr">
        <is>
          <t>доп. корзины × (CR корзина → заказ ÷ 100)</t>
        </is>
      </c>
    </row>
    <row r="8">
      <c r="A8" s="9" t="inlineStr">
        <is>
          <t>Доп. выручка</t>
        </is>
      </c>
      <c r="B8" s="9" t="inlineStr">
        <is>
          <t>доп. заказы × средний чек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