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Урок 1: Воронка маркетплейса: от показа до выкупа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Воронка TRM-500 за март 2026 (28 дней)</t>
        </is>
      </c>
    </row>
    <row r="7">
      <c r="A7" s="4" t="inlineStr">
        <is>
          <t>Этап воронки</t>
        </is>
      </c>
      <c r="B7" s="4" t="inlineStr">
        <is>
          <t>Значение</t>
        </is>
      </c>
    </row>
    <row r="8">
      <c r="A8" s="5" t="inlineStr">
        <is>
          <t>Показы карточки в выдаче</t>
        </is>
      </c>
      <c r="B8" s="6" t="n">
        <v>120000</v>
      </c>
    </row>
    <row r="9">
      <c r="A9" s="5" t="inlineStr">
        <is>
          <t>Клики = просмотры карточки</t>
        </is>
      </c>
      <c r="B9" s="6" t="n">
        <v>3600</v>
      </c>
    </row>
    <row r="10">
      <c r="A10" s="5" t="inlineStr">
        <is>
          <t>Добавления в корзину</t>
        </is>
      </c>
      <c r="B10" s="6" t="n">
        <v>540</v>
      </c>
    </row>
    <row r="11">
      <c r="A11" s="5" t="inlineStr">
        <is>
          <t>Заказы</t>
        </is>
      </c>
      <c r="B11" s="6" t="n">
        <v>378</v>
      </c>
    </row>
    <row r="12">
      <c r="A12" s="5" t="inlineStr">
        <is>
          <t>Выкуплено заказов</t>
        </is>
      </c>
      <c r="B12" s="6" t="n">
        <v>344</v>
      </c>
    </row>
    <row r="14">
      <c r="A14" s="3" t="inlineStr">
        <is>
          <t>Ещё о периоде</t>
        </is>
      </c>
    </row>
    <row r="15">
      <c r="A15" s="4" t="inlineStr">
        <is>
          <t>Показатель</t>
        </is>
      </c>
      <c r="B15" s="4" t="inlineStr">
        <is>
          <t>Значение</t>
        </is>
      </c>
    </row>
    <row r="16">
      <c r="A16" s="5" t="inlineStr">
        <is>
          <t>Дней в периоде</t>
        </is>
      </c>
      <c r="B16" s="6" t="n">
        <v>28</v>
      </c>
    </row>
    <row r="17">
      <c r="A17" s="5" t="inlineStr">
        <is>
          <t>Уникальных покупателей</t>
        </is>
      </c>
      <c r="B17" s="6" t="n">
        <v>340</v>
      </c>
    </row>
    <row r="18">
      <c r="A18" s="5" t="inlineStr">
        <is>
          <t>Продано единиц товара</t>
        </is>
      </c>
      <c r="B18" s="6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CTR карточки за период, % (один знак после запятой)</t>
        </is>
      </c>
      <c r="C2" s="9" t="n"/>
      <c r="D2" s="10" t="n">
        <v>3</v>
      </c>
      <c r="E2" s="7">
        <f>IF(C2="","",IF(ABS(C2-D2)&lt;=0.05,"OK Верно","X Пересчитай"))</f>
        <v/>
      </c>
      <c r="F2" s="11" t="inlineStr">
        <is>
          <t>Клики ÷ показы × 100% = 3 600 ÷ 120 000 × 100% = 3,0%.</t>
        </is>
      </c>
    </row>
    <row r="3" ht="32" customHeight="1">
      <c r="A3" s="7" t="n">
        <v>2</v>
      </c>
      <c r="B3" s="8" t="inlineStr">
        <is>
          <t>Конверсия просмотры → корзина, % (один знак после запятой)</t>
        </is>
      </c>
      <c r="C3" s="9" t="n"/>
      <c r="D3" s="10" t="n">
        <v>15</v>
      </c>
      <c r="E3" s="7">
        <f>IF(C3="","",IF(ABS(C3-D3)&lt;=0.05,"OK Верно","X Пересчитай"))</f>
        <v/>
      </c>
      <c r="F3" s="11" t="inlineStr">
        <is>
          <t>Корзины ÷ клики × 100% = 540 ÷ 3 600 × 100% = 15,0%.</t>
        </is>
      </c>
    </row>
    <row r="4" ht="32" customHeight="1">
      <c r="A4" s="7" t="n">
        <v>3</v>
      </c>
      <c r="B4" s="8" t="inlineStr">
        <is>
          <t>Конверсия корзина → заказ, % (один знак после запятой)</t>
        </is>
      </c>
      <c r="C4" s="9" t="n"/>
      <c r="D4" s="10" t="n">
        <v>70</v>
      </c>
      <c r="E4" s="7">
        <f>IF(C4="","",IF(ABS(C4-D4)&lt;=0.05,"OK Верно","X Пересчитай"))</f>
        <v/>
      </c>
      <c r="F4" s="11" t="inlineStr">
        <is>
          <t>Заказы ÷ корзины × 100% = 378 ÷ 540 × 100% = 70,0%.</t>
        </is>
      </c>
    </row>
    <row r="5" ht="32" customHeight="1">
      <c r="A5" s="7" t="n">
        <v>4</v>
      </c>
      <c r="B5" s="8" t="inlineStr">
        <is>
          <t>Конверсия просмотры → заказ, % (один знак после запятой)</t>
        </is>
      </c>
      <c r="C5" s="9" t="n"/>
      <c r="D5" s="10" t="n">
        <v>10.5</v>
      </c>
      <c r="E5" s="7">
        <f>IF(C5="","",IF(ABS(C5-D5)&lt;=0.05,"OK Верно","X Пересчитай"))</f>
        <v/>
      </c>
      <c r="F5" s="11" t="inlineStr">
        <is>
          <t>Заказы ÷ клики × 100% = 378 ÷ 3 600 × 100% = 10,5%.</t>
        </is>
      </c>
    </row>
    <row r="6" ht="32" customHeight="1">
      <c r="A6" s="7" t="n">
        <v>5</v>
      </c>
      <c r="B6" s="8" t="inlineStr">
        <is>
          <t>Сколько показов в среднем приходится на 1 заказ (с одним знаком после запятой)</t>
        </is>
      </c>
      <c r="C6" s="12" t="n"/>
      <c r="D6" s="13" t="n">
        <v>317.5</v>
      </c>
      <c r="E6" s="7">
        <f>IF(C6="","",IF(ABS(C6-D6)&lt;=0.5,"OK Верно","X Пересчитай"))</f>
        <v/>
      </c>
      <c r="F6" s="11" t="inlineStr">
        <is>
          <t>Показы ÷ заказы = 120 000 ÷ 378 = 317,46… ≈ 317,5.</t>
        </is>
      </c>
    </row>
    <row r="8">
      <c r="A8" s="14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CTR карточки</t>
        </is>
      </c>
      <c r="B2" s="8" t="inlineStr">
        <is>
          <t>клики (просмотры карточки) ÷ показы выдачи × 100%</t>
        </is>
      </c>
    </row>
    <row r="3">
      <c r="A3" s="8" t="inlineStr">
        <is>
          <t>CR в корзину</t>
        </is>
      </c>
      <c r="B3" s="8" t="inlineStr">
        <is>
          <t>добавления в корзину ÷ просмотры карточки × 100%</t>
        </is>
      </c>
    </row>
    <row r="4">
      <c r="A4" s="8" t="inlineStr">
        <is>
          <t>CR корзина → заказ</t>
        </is>
      </c>
      <c r="B4" s="8" t="inlineStr">
        <is>
          <t>заказы ÷ добавления в корзину × 100%</t>
        </is>
      </c>
    </row>
    <row r="5">
      <c r="A5" s="8" t="inlineStr">
        <is>
          <t>CR просмотры → заказ</t>
        </is>
      </c>
      <c r="B5" s="8" t="inlineStr">
        <is>
          <t>заказы ÷ просмотры карточки × 100%</t>
        </is>
      </c>
    </row>
    <row r="6">
      <c r="A6" s="8" t="inlineStr">
        <is>
          <t>CR показы → заказ</t>
        </is>
      </c>
      <c r="B6" s="8" t="inlineStr">
        <is>
          <t>заказы ÷ показы выдачи × 100% = CTR × CR корз. × CR зак.</t>
        </is>
      </c>
    </row>
    <row r="7">
      <c r="A7" s="8" t="inlineStr">
        <is>
          <t>Показов на 1 заказ</t>
        </is>
      </c>
      <c r="B7" s="8" t="inlineStr">
        <is>
          <t>показы выдачи ÷ заказы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