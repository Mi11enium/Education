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'Данные'!$A$4:$E$7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2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17Data" displayName="Lesson17Data" ref="A4:E7" headerRowCount="1">
  <autoFilter ref="A4:E7"/>
  <tableColumns count="5">
    <tableColumn id="1" name="Неделя"/>
    <tableColumn id="2" name="Заказы"/>
    <tableColumn id="3" name="GMV, ₽"/>
    <tableColumn id="4" name="Маржа, %"/>
    <tableColumn id="5" name="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17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Данные к уроку 17: Сезонность и промо: uplift и эффект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Неделя</t>
        </is>
      </c>
      <c r="B4" s="9" t="inlineStr">
        <is>
          <t>Заказы</t>
        </is>
      </c>
      <c r="C4" s="9" t="inlineStr">
        <is>
          <t>GMV, ₽</t>
        </is>
      </c>
      <c r="D4" s="9" t="inlineStr">
        <is>
          <t>Маржа, %</t>
        </is>
      </c>
      <c r="E4" s="9" t="inlineStr">
        <is>
          <t>Статус</t>
        </is>
      </c>
    </row>
    <row r="5">
      <c r="A5" s="10" t="inlineStr">
        <is>
          <t>До</t>
        </is>
      </c>
      <c r="B5" s="11" t="n">
        <v>1000</v>
      </c>
      <c r="C5" s="11" t="n">
        <v>1200000</v>
      </c>
      <c r="D5" s="11" t="n">
        <v>42</v>
      </c>
      <c r="E5" s="10" t="inlineStr">
        <is>
          <t>обычная</t>
        </is>
      </c>
    </row>
    <row r="6">
      <c r="A6" s="12" t="inlineStr">
        <is>
          <t>Промо</t>
        </is>
      </c>
      <c r="B6" s="13" t="n">
        <v>1300</v>
      </c>
      <c r="C6" s="13" t="n">
        <v>1495000</v>
      </c>
      <c r="D6" s="13" t="n">
        <v>35</v>
      </c>
      <c r="E6" s="12" t="inlineStr">
        <is>
          <t>акция</t>
        </is>
      </c>
    </row>
    <row r="7">
      <c r="A7" s="10" t="inlineStr">
        <is>
          <t>После</t>
        </is>
      </c>
      <c r="B7" s="11" t="n">
        <v>950</v>
      </c>
      <c r="C7" s="11" t="n">
        <v>1170000</v>
      </c>
      <c r="D7" s="11" t="n">
        <v>43</v>
      </c>
      <c r="E7" s="10" t="inlineStr">
        <is>
          <t>обычная</t>
        </is>
      </c>
    </row>
  </sheetData>
  <autoFilter ref="A4:E7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17: Сезонность и промо: uplift и эффект</t>
        </is>
      </c>
    </row>
    <row r="2">
      <c r="A2" s="14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5" t="inlineStr">
        <is>
          <t>Uplift заказов</t>
        </is>
      </c>
      <c r="B5" s="16" t="n"/>
      <c r="C5" s="17">
        <f>IF(B5="","Введите ответ",IF(ABS(B5-(('Данные'!B6-'Данные'!B5)/'Данные'!B5*100))&lt;0.0001,"Верно","Проверьте"))</f>
        <v/>
      </c>
      <c r="D5" s="10" t="inlineStr">
        <is>
          <t>(После − до) ÷ до × 100; ответ вводите числом в процентах, например 30.</t>
        </is>
      </c>
    </row>
    <row r="6" ht="48" customHeight="1">
      <c r="A6" s="15" t="inlineStr">
        <is>
          <t>Изменение маржи</t>
        </is>
      </c>
      <c r="B6" s="16" t="n"/>
      <c r="C6" s="17">
        <f>IF(B6="","Введите ответ",IF(ABS(B6-('Данные'!D6-'Данные'!D5))&lt;0.0001,"Верно","Проверьте"))</f>
        <v/>
      </c>
      <c r="D6" s="10" t="inlineStr">
        <is>
          <t>Промо-маржа минус маржа до; единица — процентные пункты.</t>
        </is>
      </c>
    </row>
    <row r="7" ht="48" customHeight="1">
      <c r="A7" s="15" t="inlineStr">
        <is>
          <t>Вывод</t>
        </is>
      </c>
      <c r="B7" s="18" t="n"/>
      <c r="C7" s="17">
        <f>IF(B7="","Введите ответ",IF(LOWER(TRIM(B7))=LOWER(TRIM("Скидку, возвраты и постпромо-спад")) ,"Верно","Проверьте"))</f>
        <v/>
      </c>
      <c r="D7" s="10" t="inlineStr">
        <is>
          <t>Рост оборота нельзя считать успехом, если экономика ухудшилась.</t>
        </is>
      </c>
    </row>
    <row r="9">
      <c r="A9" s="15" t="inlineStr">
        <is>
          <t>Прогресс</t>
        </is>
      </c>
      <c r="B9" s="19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17</t>
        </is>
      </c>
    </row>
    <row r="3" ht="52" customHeight="1">
      <c r="A3" s="20" t="inlineStr">
        <is>
          <t>Цель</t>
        </is>
      </c>
      <c r="B3" s="10" t="inlineStr">
        <is>
          <t>Отличить сезонный рост от эффекта акции и не принять совпадение за причинность.</t>
        </is>
      </c>
    </row>
    <row r="4" ht="52" customHeight="1">
      <c r="A4" s="21" t="inlineStr">
        <is>
          <t>Формула</t>
        </is>
      </c>
      <c r="B4" s="12" t="inlineStr">
        <is>
          <t>Uplift = (значение после − значение до) / значение до × 100%. Для недели сопоставляйте одинаковые дни недели.</t>
        </is>
      </c>
    </row>
    <row r="5" ht="52" customHeight="1">
      <c r="A5" s="20" t="inlineStr">
        <is>
          <t>Как считать</t>
        </is>
      </c>
      <c r="B5" s="10" t="inlineStr">
        <is>
          <t>Для промо заранее задайте baseline, период и контрольный ориентир. Сравнивайте одинаковые SKU и каналы, если это возможно.</t>
        </is>
      </c>
    </row>
    <row r="6" ht="52" customHeight="1">
      <c r="A6" s="21" t="inlineStr">
        <is>
          <t>Пример</t>
        </is>
      </c>
      <c r="B6" s="12" t="inlineStr">
        <is>
          <t>Заказы выросли с 100 до 130: uplift = 30%, а не 130%. Если сезон сам дал +20%, промо-добавка оценивается отдельно.</t>
        </is>
      </c>
    </row>
    <row r="7" ht="52" customHeight="1">
      <c r="A7" s="20" t="inlineStr">
        <is>
          <t>Типичная ошибка</t>
        </is>
      </c>
      <c r="B7" s="10" t="inlineStr">
        <is>
          <t>Считать весь рост после акции заслугой акции; забывать про скидку, маржу и постпромо-спад.</t>
        </is>
      </c>
    </row>
    <row r="8" ht="52" customHeight="1">
      <c r="A8" s="21" t="inlineStr">
        <is>
          <t>Действие</t>
        </is>
      </c>
      <c r="B8" s="12" t="inlineStr">
        <is>
          <t>После акции проверьте: маржа, возвраты, заказы по неделям и изменение спроса после скидки.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17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Uplift заказов</t>
        </is>
      </c>
      <c r="B5" s="22">
        <f>('Данные'!B6-'Данные'!B5)/'Данные'!B5*100</f>
        <v/>
      </c>
      <c r="C5" s="10" t="inlineStr">
        <is>
          <t>(После − до) ÷ до × 100; ответ вводите числом в процентах, например 30.</t>
        </is>
      </c>
    </row>
    <row r="6" ht="48" customHeight="1">
      <c r="A6" s="12" t="inlineStr">
        <is>
          <t>Изменение маржи</t>
        </is>
      </c>
      <c r="B6" s="23">
        <f>'Данные'!D6-'Данные'!D5</f>
        <v/>
      </c>
      <c r="C6" s="12" t="inlineStr">
        <is>
          <t>Промо-маржа минус маржа до; единица — процентные пункты.</t>
        </is>
      </c>
    </row>
    <row r="7" ht="48" customHeight="1">
      <c r="A7" s="10" t="inlineStr">
        <is>
          <t>Вывод</t>
        </is>
      </c>
      <c r="B7" s="10" t="inlineStr">
        <is>
          <t>Скидку, возвраты и постпромо-спад</t>
        </is>
      </c>
      <c r="C7" s="10" t="inlineStr">
        <is>
          <t>Рост оборота нельзя считать успехом, если экономика ухудшилась.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17: Сезонность и промо: uplift и эффект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2026-09-23T20:47:06Z</dcterms:created>
  <dcterms:modified xmlns:dcterms="http://purl.org/dc/terms/" xmlns:xsi="http://www.w3.org/2001/XMLSchema-instance" xsi:type="dcterms:W3CDTF">2026-09-23T20:47:06Z</dcterms:modified>
</cp:coreProperties>
</file>