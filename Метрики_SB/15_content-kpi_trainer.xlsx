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Практика" sheetId="3" state="visible" r:id="rId3"/>
    <sheet xmlns:r="http://schemas.openxmlformats.org/officeDocument/2006/relationships" name="Справочник" sheetId="4" state="visible" r:id="rId4"/>
    <sheet xmlns:r="http://schemas.openxmlformats.org/officeDocument/2006/relationships" name="Ответы" sheetId="5" state="hidden" r:id="rId5"/>
  </sheets>
  <definedNames>
    <definedName name="_xlnm._FilterDatabase" localSheetId="1" hidden="1">'Данные'!$A$4:$H$7</definedName>
    <definedName name="_xlnm._FilterDatabase" localSheetId="2" hidden="1">'Практика'!$A$4:$D$7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FFFFFF"/>
      <sz val="10"/>
    </font>
    <font>
      <name val="Aptos"/>
      <b val="1"/>
      <color rgb="0017324D"/>
      <sz val="10"/>
    </font>
    <font>
      <name val="Aptos"/>
      <i val="1"/>
      <color rgb="006B7280"/>
    </font>
    <font>
      <name val="Aptos"/>
      <b val="1"/>
      <color rgb="00007C83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0A6A6"/>
      </patternFill>
    </fill>
    <fill>
      <patternFill patternType="solid">
        <fgColor rgb="00E7EFF8"/>
      </patternFill>
    </fill>
    <fill>
      <patternFill patternType="solid">
        <fgColor rgb="00F4F7F9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1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8E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Lesson15Data" displayName="Lesson15Data" ref="A4:H7" headerRowCount="1">
  <autoFilter ref="A4:H7"/>
  <tableColumns count="8">
    <tableColumn id="1" name="Контент"/>
    <tableColumn id="2" name="Просмотры"/>
    <tableColumn id="3" name="Лайки"/>
    <tableColumn id="4" name="Комментарии"/>
    <tableColumn id="5" name="Репосты"/>
    <tableColumn id="6" name="Переходы"/>
    <tableColumn id="7" name="Заказы"/>
    <tableColumn id="8" name="GMV, ₽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5" customWidth="1" min="2" max="2"/>
  </cols>
  <sheetData>
    <row r="1" ht="30" customHeight="1">
      <c r="A1" s="1" t="inlineStr">
        <is>
          <t>Как пройти тренажёр 15</t>
        </is>
      </c>
    </row>
    <row r="3" ht="42" customHeight="1">
      <c r="A3" s="2" t="inlineStr">
        <is>
          <t>1</t>
        </is>
      </c>
      <c r="B3" s="3" t="inlineStr">
        <is>
          <t>Откройте лист «Данные» и при необходимости замените учебные значения своими.</t>
        </is>
      </c>
    </row>
    <row r="4" ht="42" customHeight="1">
      <c r="A4" s="4" t="inlineStr">
        <is>
          <t>2</t>
        </is>
      </c>
      <c r="B4" s="5" t="inlineStr">
        <is>
          <t>Откройте лист «Практика» и введите ответы только в жёлтые ячейки столбца B.</t>
        </is>
      </c>
    </row>
    <row r="5" ht="42" customHeight="1">
      <c r="A5" s="2" t="inlineStr">
        <is>
          <t>3</t>
        </is>
      </c>
      <c r="B5" s="3" t="inlineStr">
        <is>
          <t>Смотрите столбец C: «Верно» или «Проверьте». В столбце D находится правило, которое нужно вспомнить.</t>
        </is>
      </c>
    </row>
    <row r="6" ht="42" customHeight="1">
      <c r="A6" s="4" t="inlineStr">
        <is>
          <t>4</t>
        </is>
      </c>
      <c r="B6" s="5" t="inlineStr">
        <is>
          <t>Если нужно самопроверка, откройте скрытый лист «Ответы»: правой кнопкой по вкладке → «Показать» или «Отобразить».</t>
        </is>
      </c>
    </row>
    <row r="7" ht="42" customHeight="1">
      <c r="A7" s="2" t="inlineStr">
        <is>
          <t>5</t>
        </is>
      </c>
      <c r="B7" s="3" t="inlineStr">
        <is>
          <t>Проценты вводите как 25% или 0,25; деньги — числом без символа валюты.</t>
        </is>
      </c>
    </row>
    <row r="10">
      <c r="A10" s="6" t="inlineStr">
        <is>
          <t>Курс</t>
        </is>
      </c>
      <c r="B10" s="7" t="inlineStr">
        <is>
          <t>Метрики для контент-менеджера маркетплейсов · 20 уроков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Данные к уроку 15: KPI контента: от реакции к бизнес-эффекту</t>
        </is>
      </c>
    </row>
    <row r="2">
      <c r="A2" s="8" t="inlineStr">
        <is>
          <t>Значения — учебные. Меняйте их, чтобы тренироваться на собственных данных.</t>
        </is>
      </c>
    </row>
    <row r="4" ht="32" customHeight="1">
      <c r="A4" s="9" t="inlineStr">
        <is>
          <t>Контент</t>
        </is>
      </c>
      <c r="B4" s="9" t="inlineStr">
        <is>
          <t>Просмотры</t>
        </is>
      </c>
      <c r="C4" s="9" t="inlineStr">
        <is>
          <t>Лайки</t>
        </is>
      </c>
      <c r="D4" s="9" t="inlineStr">
        <is>
          <t>Комментарии</t>
        </is>
      </c>
      <c r="E4" s="9" t="inlineStr">
        <is>
          <t>Репосты</t>
        </is>
      </c>
      <c r="F4" s="9" t="inlineStr">
        <is>
          <t>Переходы</t>
        </is>
      </c>
      <c r="G4" s="9" t="inlineStr">
        <is>
          <t>Заказы</t>
        </is>
      </c>
      <c r="H4" s="9" t="inlineStr">
        <is>
          <t>GMV, ₽</t>
        </is>
      </c>
    </row>
    <row r="5">
      <c r="A5" s="10" t="inlineStr">
        <is>
          <t>A</t>
        </is>
      </c>
      <c r="B5" s="11" t="n">
        <v>1000</v>
      </c>
      <c r="C5" s="11" t="n">
        <v>60</v>
      </c>
      <c r="D5" s="11" t="n">
        <v>10</v>
      </c>
      <c r="E5" s="11" t="n">
        <v>10</v>
      </c>
      <c r="F5" s="11" t="n">
        <v>20</v>
      </c>
      <c r="G5" s="11" t="n">
        <v>2</v>
      </c>
      <c r="H5" s="11" t="n">
        <v>2600</v>
      </c>
    </row>
    <row r="6">
      <c r="A6" s="12" t="inlineStr">
        <is>
          <t>B</t>
        </is>
      </c>
      <c r="B6" s="13" t="n">
        <v>4000</v>
      </c>
      <c r="C6" s="13" t="n">
        <v>100</v>
      </c>
      <c r="D6" s="13" t="n">
        <v>8</v>
      </c>
      <c r="E6" s="13" t="n">
        <v>2</v>
      </c>
      <c r="F6" s="13" t="n">
        <v>50</v>
      </c>
      <c r="G6" s="13" t="n">
        <v>1</v>
      </c>
      <c r="H6" s="13" t="n">
        <v>1300</v>
      </c>
    </row>
    <row r="7">
      <c r="A7" s="10" t="inlineStr">
        <is>
          <t>C</t>
        </is>
      </c>
      <c r="B7" s="11" t="n">
        <v>2000</v>
      </c>
      <c r="C7" s="11" t="n">
        <v>120</v>
      </c>
      <c r="D7" s="11" t="n">
        <v>20</v>
      </c>
      <c r="E7" s="11" t="n">
        <v>20</v>
      </c>
      <c r="F7" s="11" t="n">
        <v>100</v>
      </c>
      <c r="G7" s="11" t="n">
        <v>6</v>
      </c>
      <c r="H7" s="11" t="n">
        <v>7800</v>
      </c>
    </row>
  </sheetData>
  <autoFilter ref="A4:H7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7" customWidth="1" min="3" max="3"/>
    <col width="55" customWidth="1" min="4" max="4"/>
  </cols>
  <sheetData>
    <row r="1" ht="30" customHeight="1">
      <c r="A1" s="1" t="inlineStr">
        <is>
          <t>Тренажёр 15: KPI контента: от реакции к бизнес-эффекту</t>
        </is>
      </c>
    </row>
    <row r="2">
      <c r="A2" s="14" t="inlineStr">
        <is>
          <t>Введите ответы в жёлтые ячейки. Excel пересчитает проверку автоматически.</t>
        </is>
      </c>
    </row>
    <row r="4" ht="32" customHeight="1">
      <c r="A4" s="9" t="inlineStr">
        <is>
          <t>Задание</t>
        </is>
      </c>
      <c r="B4" s="9" t="inlineStr">
        <is>
          <t>Ваш ответ</t>
        </is>
      </c>
      <c r="C4" s="9" t="inlineStr">
        <is>
          <t>Проверка</t>
        </is>
      </c>
      <c r="D4" s="9" t="inlineStr">
        <is>
          <t>Подсказка / правило</t>
        </is>
      </c>
    </row>
    <row r="5" ht="48" customHeight="1">
      <c r="A5" s="15" t="inlineStr">
        <is>
          <t>Engagement A</t>
        </is>
      </c>
      <c r="B5" s="16" t="n"/>
      <c r="C5" s="17">
        <f>IF(B5="","Введите ответ",IF(ABS(B5-(('Данные'!C5+'Данные'!D5+'Данные'!E5)/'Данные'!B5))&lt;0.0001,"Верно","Проверьте"))</f>
        <v/>
      </c>
      <c r="D5" s="10" t="inlineStr">
        <is>
          <t>Реакции ÷ просмотры.</t>
        </is>
      </c>
    </row>
    <row r="6" ht="48" customHeight="1">
      <c r="A6" s="15" t="inlineStr">
        <is>
          <t>Commerce rate C</t>
        </is>
      </c>
      <c r="B6" s="16" t="n"/>
      <c r="C6" s="17">
        <f>IF(B6="","Введите ответ",IF(ABS(B6-('Данные'!G7/'Данные'!B7))&lt;0.0001,"Верно","Проверьте"))</f>
        <v/>
      </c>
      <c r="D6" s="10" t="inlineStr">
        <is>
          <t>Заказы ÷ просмотры; строка 7 — контент C.</t>
        </is>
      </c>
    </row>
    <row r="7" ht="48" customHeight="1">
      <c r="A7" s="15" t="inlineStr">
        <is>
          <t>Главный KPI</t>
        </is>
      </c>
      <c r="B7" s="18" t="n"/>
      <c r="C7" s="17">
        <f>IF(B7="","Введите ответ",IF(LOWER(TRIM(B7))=LOWER(TRIM("Заказы или GMV")) ,"Верно","Проверьте"))</f>
        <v/>
      </c>
      <c r="D7" s="10" t="inlineStr">
        <is>
          <t>Выбирайте KPI по бизнес-цели, а не по самой доступной цифре.</t>
        </is>
      </c>
    </row>
    <row r="9">
      <c r="A9" s="15" t="inlineStr">
        <is>
          <t>Прогресс</t>
        </is>
      </c>
      <c r="B9" s="19">
        <f>COUNTIF(C5:C7,"Верно")&amp;" / 3 — "&amp;TEXT(COUNTIF(C5:C7,"Верно")/3,"0%")</f>
        <v/>
      </c>
    </row>
  </sheetData>
  <autoFilter ref="A4:D7"/>
  <mergeCells count="2">
    <mergeCell ref="A1:D1"/>
    <mergeCell ref="A2:D2"/>
  </mergeCells>
  <conditionalFormatting sqref="C5:C7">
    <cfRule type="expression" priority="1" dxfId="0">
      <formula>C5="Верно"</formula>
    </cfRule>
    <cfRule type="expression" priority="2" dxfId="1">
      <formula>C5="Проверьте"</formula>
    </cfRule>
    <cfRule type="expression" priority="3" dxfId="2">
      <formula>C5="Введите ответ"</formula>
    </cfRule>
  </conditionalFormatting>
  <dataValidations count="1">
    <dataValidation sqref="B7" showDropDown="0" showInputMessage="0" showErrorMessage="0" allowBlank="1" type="list">
      <formula1>"Заказы или GMV,Только просмотры,Только лайки"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Справочник урока 15</t>
        </is>
      </c>
    </row>
    <row r="3" ht="52" customHeight="1">
      <c r="A3" s="20" t="inlineStr">
        <is>
          <t>Цель</t>
        </is>
      </c>
      <c r="B3" s="10" t="inlineStr">
        <is>
          <t>Разделить вовлечённость, клик по товару и коммерческий результат.</t>
        </is>
      </c>
    </row>
    <row r="4" ht="52" customHeight="1">
      <c r="A4" s="21" t="inlineStr">
        <is>
          <t>Формула</t>
        </is>
      </c>
      <c r="B4" s="12" t="inlineStr">
        <is>
          <t>Engagement = (лайки + комментарии + репосты) / просмотры. Commerce rate = заказы / просмотры контента.</t>
        </is>
      </c>
    </row>
    <row r="5" ht="52" customHeight="1">
      <c r="A5" s="20" t="inlineStr">
        <is>
          <t>Как считать</t>
        </is>
      </c>
      <c r="B5" s="10" t="inlineStr">
        <is>
          <t>Для контента используйте иерархию: охват → вовлечённость → переход в карточку → заказ → GMV. Не смешивайте знаменатели разных уровней.</t>
        </is>
      </c>
    </row>
    <row r="6" ht="52" customHeight="1">
      <c r="A6" s="21" t="inlineStr">
        <is>
          <t>Пример</t>
        </is>
      </c>
      <c r="B6" s="12" t="inlineStr">
        <is>
          <t>1000 просмотров, 80 реакций, 20 переходов, 2 заказа: engagement 8%, Product CTR 2%, commerce rate 0,2%.</t>
        </is>
      </c>
    </row>
    <row r="7" ht="52" customHeight="1">
      <c r="A7" s="20" t="inlineStr">
        <is>
          <t>Типичная ошибка</t>
        </is>
      </c>
      <c r="B7" s="10" t="inlineStr">
        <is>
          <t>Считать, что чем больше лайков, тем выше продажи; не учитывать переходы и заказы.</t>
        </is>
      </c>
    </row>
    <row r="8" ht="52" customHeight="1">
      <c r="A8" s="21" t="inlineStr">
        <is>
          <t>Действие</t>
        </is>
      </c>
      <c r="B8" s="12" t="inlineStr">
        <is>
          <t>Для каждого контента заполните цепочку и присвойте один главный KPI под цель кампании.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70" customWidth="1" min="3" max="3"/>
  </cols>
  <sheetData>
    <row r="1" ht="30" customHeight="1">
      <c r="A1" s="1" t="inlineStr">
        <is>
          <t>Ответы к уроку 15</t>
        </is>
      </c>
    </row>
    <row r="4" ht="32" customHeight="1">
      <c r="A4" s="9" t="inlineStr">
        <is>
          <t>Задание</t>
        </is>
      </c>
      <c r="B4" s="9" t="inlineStr">
        <is>
          <t>Ответ / формула</t>
        </is>
      </c>
      <c r="C4" s="9" t="inlineStr">
        <is>
          <t>Как получить</t>
        </is>
      </c>
    </row>
    <row r="5" ht="48" customHeight="1">
      <c r="A5" s="10" t="inlineStr">
        <is>
          <t>Engagement A</t>
        </is>
      </c>
      <c r="B5" s="22">
        <f>('Данные'!C5+'Данные'!D5+'Данные'!E5)/'Данные'!B5</f>
        <v/>
      </c>
      <c r="C5" s="10" t="inlineStr">
        <is>
          <t>Реакции ÷ просмотры.</t>
        </is>
      </c>
    </row>
    <row r="6" ht="48" customHeight="1">
      <c r="A6" s="12" t="inlineStr">
        <is>
          <t>Commerce rate C</t>
        </is>
      </c>
      <c r="B6" s="23">
        <f>'Данные'!G7/'Данные'!B7</f>
        <v/>
      </c>
      <c r="C6" s="12" t="inlineStr">
        <is>
          <t>Заказы ÷ просмотры; строка 7 — контент C.</t>
        </is>
      </c>
    </row>
    <row r="7" ht="48" customHeight="1">
      <c r="A7" s="10" t="inlineStr">
        <is>
          <t>Главный KPI</t>
        </is>
      </c>
      <c r="B7" s="10" t="inlineStr">
        <is>
          <t>Заказы или GMV</t>
        </is>
      </c>
      <c r="C7" s="10" t="inlineStr">
        <is>
          <t>Выбирайте KPI по бизнес-цели, а не по самой доступной цифре.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 Agent</dc:creator>
  <dc:title xmlns:dc="http://purl.org/dc/elements/1.1/">Тренажёр 15: KPI контента: от реакции к бизнес-эффекту</dc:title>
  <dc:subject xmlns:dc="http://purl.org/dc/elements/1.1/">Метрики для контент-менеджера маркетплейсов</dc:subject>
  <dcterms:created xmlns:dcterms="http://purl.org/dc/terms/" xmlns:xsi="http://www.w3.org/2001/XMLSchema-instance" xsi:type="dcterms:W3CDTF">2026-09-23T20:47:05Z</dcterms:created>
  <dcterms:modified xmlns:dcterms="http://purl.org/dc/terms/" xmlns:xsi="http://www.w3.org/2001/XMLSchema-instance" xsi:type="dcterms:W3CDTF">2026-09-23T20:47:05Z</dcterms:modified>
</cp:coreProperties>
</file>