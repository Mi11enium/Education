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'Данные'!$A$4:$E$8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3Data" displayName="Lesson13Data" ref="A4:E8" headerRowCount="1">
  <autoFilter ref="A4:E8"/>
  <tableColumns count="5">
    <tableColumn id="1" name="Формат"/>
    <tableColumn id="2" name="Просмотры"/>
    <tableColumn id="3" name="Переходы"/>
    <tableColumn id="4" name="Заказы"/>
    <tableColumn id="5" name="GMV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13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Данные к уроку 13: Форматы контента: просмотры, клики, заказы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Формат</t>
        </is>
      </c>
      <c r="B4" s="9" t="inlineStr">
        <is>
          <t>Просмотры</t>
        </is>
      </c>
      <c r="C4" s="9" t="inlineStr">
        <is>
          <t>Переходы</t>
        </is>
      </c>
      <c r="D4" s="9" t="inlineStr">
        <is>
          <t>Заказы</t>
        </is>
      </c>
      <c r="E4" s="9" t="inlineStr">
        <is>
          <t>GMV, ₽</t>
        </is>
      </c>
    </row>
    <row r="5">
      <c r="A5" s="10" t="inlineStr">
        <is>
          <t>Видео</t>
        </is>
      </c>
      <c r="B5" s="11" t="n">
        <v>50000</v>
      </c>
      <c r="C5" s="11" t="n">
        <v>200</v>
      </c>
      <c r="D5" s="11" t="n">
        <v>8</v>
      </c>
      <c r="E5" s="11" t="n">
        <v>9600</v>
      </c>
    </row>
    <row r="6">
      <c r="A6" s="12" t="inlineStr">
        <is>
          <t>Обзор</t>
        </is>
      </c>
      <c r="B6" s="13" t="n">
        <v>5000</v>
      </c>
      <c r="C6" s="13" t="n">
        <v>100</v>
      </c>
      <c r="D6" s="13" t="n">
        <v>12</v>
      </c>
      <c r="E6" s="13" t="n">
        <v>15600</v>
      </c>
    </row>
    <row r="7">
      <c r="A7" s="10" t="inlineStr">
        <is>
          <t>Live</t>
        </is>
      </c>
      <c r="B7" s="11" t="n">
        <v>3000</v>
      </c>
      <c r="C7" s="11" t="n">
        <v>60</v>
      </c>
      <c r="D7" s="11" t="n">
        <v>7</v>
      </c>
      <c r="E7" s="11" t="n">
        <v>9100</v>
      </c>
    </row>
    <row r="8">
      <c r="A8" s="12" t="inlineStr">
        <is>
          <t>Карточка</t>
        </is>
      </c>
      <c r="B8" s="13" t="n">
        <v>12000</v>
      </c>
      <c r="C8" s="13" t="n">
        <v>300</v>
      </c>
      <c r="D8" s="13" t="n">
        <v>24</v>
      </c>
      <c r="E8" s="13" t="n">
        <v>31200</v>
      </c>
    </row>
  </sheetData>
  <autoFilter ref="A4:E8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13: Форматы контента: просмотры, клики, заказы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Product CTR видео</t>
        </is>
      </c>
      <c r="B5" s="16" t="n"/>
      <c r="C5" s="17">
        <f>IF(B5="","Введите ответ",IF(ABS(B5-('Данные'!C5/'Данные'!B5))&lt;0.0001,"Верно","Проверьте"))</f>
        <v/>
      </c>
      <c r="D5" s="10" t="inlineStr">
        <is>
          <t>Переходы ÷ просмотры.</t>
        </is>
      </c>
    </row>
    <row r="6" ht="48" customHeight="1">
      <c r="A6" s="15" t="inlineStr">
        <is>
          <t>CVR обзора</t>
        </is>
      </c>
      <c r="B6" s="16" t="n"/>
      <c r="C6" s="17">
        <f>IF(B6="","Введите ответ",IF(ABS(B6-('Данные'!D6/'Данные'!C6))&lt;0.0001,"Верно","Проверьте"))</f>
        <v/>
      </c>
      <c r="D6" s="10" t="inlineStr">
        <is>
          <t>Заказы ÷ переходы; строка 6 — «Обзор».</t>
        </is>
      </c>
    </row>
    <row r="7" ht="48" customHeight="1">
      <c r="A7" s="15" t="inlineStr">
        <is>
          <t>Коммерческий эффект</t>
        </is>
      </c>
      <c r="B7" s="18" t="n"/>
      <c r="C7" s="17">
        <f>IF(B7="","Введите ответ",IF(LOWER(TRIM(B7))=LOWER(TRIM("Переходы и заказы")) ,"Верно","Проверьте"))</f>
        <v/>
      </c>
      <c r="D7" s="10" t="inlineStr">
        <is>
          <t>Просмотры — верх воронки; коммерческую ценность показывают переходы и заказы.</t>
        </is>
      </c>
    </row>
    <row r="9">
      <c r="A9" s="15" t="inlineStr">
        <is>
          <t>Прогресс</t>
        </is>
      </c>
      <c r="B9" s="19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"Переходы и заказы,Только просмотры,Только лайки"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13</t>
        </is>
      </c>
    </row>
    <row r="3" ht="52" customHeight="1">
      <c r="A3" s="20" t="inlineStr">
        <is>
          <t>Цель</t>
        </is>
      </c>
      <c r="B3" s="10" t="inlineStr">
        <is>
          <t>Сравнивать видео, карточки, обзоры и live-форматы по цепочке эффекта.</t>
        </is>
      </c>
    </row>
    <row r="4" ht="52" customHeight="1">
      <c r="A4" s="21" t="inlineStr">
        <is>
          <t>Формула</t>
        </is>
      </c>
      <c r="B4" s="12" t="inlineStr">
        <is>
          <t>Engagement rate = взаимодействия / просмотры. Product CTR = переходы в карточку / просмотры контента.</t>
        </is>
      </c>
    </row>
    <row r="5" ht="52" customHeight="1">
      <c r="A5" s="20" t="inlineStr">
        <is>
          <t>Как считать</t>
        </is>
      </c>
      <c r="B5" s="10" t="inlineStr">
        <is>
          <t>Разделите вирусность и коммерческий эффект. Один формат может собирать просмотры, но слабо приводить в карточку и заказывать.</t>
        </is>
      </c>
    </row>
    <row r="6" ht="52" customHeight="1">
      <c r="A6" s="21" t="inlineStr">
        <is>
          <t>Пример</t>
        </is>
      </c>
      <c r="B6" s="12" t="inlineStr">
        <is>
          <t>Видео с 50 000 просмотров и 200 переходами имеет Product CTR 0,4%; отзыв с 5 000 просмотров и 100 переходами — 2%.</t>
        </is>
      </c>
    </row>
    <row r="7" ht="52" customHeight="1">
      <c r="A7" s="20" t="inlineStr">
        <is>
          <t>Типичная ошибка</t>
        </is>
      </c>
      <c r="B7" s="10" t="inlineStr">
        <is>
          <t>Выбирать формат только по просмотрам или считать лайки продажами.</t>
        </is>
      </c>
    </row>
    <row r="8" ht="52" customHeight="1">
      <c r="A8" s="21" t="inlineStr">
        <is>
          <t>Действие</t>
        </is>
      </c>
      <c r="B8" s="12" t="inlineStr">
        <is>
          <t>Для каждого формата считайте цепочку: просмотры → переходы → заказы → GMV.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13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Product CTR видео</t>
        </is>
      </c>
      <c r="B5" s="22">
        <f>'Данные'!C5/'Данные'!B5</f>
        <v/>
      </c>
      <c r="C5" s="10" t="inlineStr">
        <is>
          <t>Переходы ÷ просмотры.</t>
        </is>
      </c>
    </row>
    <row r="6" ht="48" customHeight="1">
      <c r="A6" s="12" t="inlineStr">
        <is>
          <t>CVR обзора</t>
        </is>
      </c>
      <c r="B6" s="23">
        <f>'Данные'!D6/'Данные'!C6</f>
        <v/>
      </c>
      <c r="C6" s="12" t="inlineStr">
        <is>
          <t>Заказы ÷ переходы; строка 6 — «Обзор».</t>
        </is>
      </c>
    </row>
    <row r="7" ht="48" customHeight="1">
      <c r="A7" s="10" t="inlineStr">
        <is>
          <t>Коммерческий эффект</t>
        </is>
      </c>
      <c r="B7" s="10" t="inlineStr">
        <is>
          <t>Переходы и заказы</t>
        </is>
      </c>
      <c r="C7" s="10" t="inlineStr">
        <is>
          <t>Просмотры — верх воронки; коммерческую ценность показывают переходы и заказы.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13: Форматы контента: просмотры, клики, заказы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