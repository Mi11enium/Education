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'Данные'!$A$4:$D$8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 ₽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164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1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1Data" displayName="Lesson11Data" ref="A4:D8" headerRowCount="1">
  <autoFilter ref="A4:D8"/>
  <tableColumns count="4">
    <tableColumn id="1" name="Источник"/>
    <tableColumn id="2" name="Сессии"/>
    <tableColumn id="3" name="Заказы"/>
    <tableColumn id="4" name="GMV, 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11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Данные к уроку 11: Эффективность источника: CVR и GMV на сессию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Источник</t>
        </is>
      </c>
      <c r="B4" s="9" t="inlineStr">
        <is>
          <t>Сессии</t>
        </is>
      </c>
      <c r="C4" s="9" t="inlineStr">
        <is>
          <t>Заказы</t>
        </is>
      </c>
      <c r="D4" s="9" t="inlineStr">
        <is>
          <t>GMV, ₽</t>
        </is>
      </c>
    </row>
    <row r="5">
      <c r="A5" s="10" t="inlineStr">
        <is>
          <t>Реклама</t>
        </is>
      </c>
      <c r="B5" s="11" t="n">
        <v>5000</v>
      </c>
      <c r="C5" s="11" t="n">
        <v>120</v>
      </c>
      <c r="D5" s="11" t="n">
        <v>144000</v>
      </c>
    </row>
    <row r="6">
      <c r="A6" s="12" t="inlineStr">
        <is>
          <t>Поиск маркетплейса</t>
        </is>
      </c>
      <c r="B6" s="13" t="n">
        <v>8000</v>
      </c>
      <c r="C6" s="13" t="n">
        <v>320</v>
      </c>
      <c r="D6" s="13" t="n">
        <v>416000</v>
      </c>
    </row>
    <row r="7">
      <c r="A7" s="10" t="inlineStr">
        <is>
          <t>Внешний блог</t>
        </is>
      </c>
      <c r="B7" s="11" t="n">
        <v>1500</v>
      </c>
      <c r="C7" s="11" t="n">
        <v>35</v>
      </c>
      <c r="D7" s="11" t="n">
        <v>42000</v>
      </c>
    </row>
    <row r="8">
      <c r="A8" s="12" t="inlineStr">
        <is>
          <t>Рекомендации</t>
        </is>
      </c>
      <c r="B8" s="13" t="n">
        <v>5500</v>
      </c>
      <c r="C8" s="13" t="n">
        <v>260</v>
      </c>
      <c r="D8" s="13" t="n">
        <v>338000</v>
      </c>
    </row>
  </sheetData>
  <autoFilter ref="A4:D8"/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11: Эффективность источника: CVR и GMV на сессию</t>
        </is>
      </c>
    </row>
    <row r="2">
      <c r="A2" s="14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5" t="inlineStr">
        <is>
          <t>GMV/сессию блога</t>
        </is>
      </c>
      <c r="B5" s="16" t="n"/>
      <c r="C5" s="17">
        <f>IF(B5="","Введите ответ",IF(ABS(B5-('Данные'!D7/'Данные'!B7))&lt;0.0001,"Верно","Проверьте"))</f>
        <v/>
      </c>
      <c r="D5" s="10" t="inlineStr">
        <is>
          <t>GMV ÷ сессии; строка 7 — внешний блог.</t>
        </is>
      </c>
    </row>
    <row r="6" ht="48" customHeight="1">
      <c r="A6" s="15" t="inlineStr">
        <is>
          <t>Доля заказов поиска</t>
        </is>
      </c>
      <c r="B6" s="18" t="n"/>
      <c r="C6" s="17">
        <f>IF(B6="","Введите ответ",IF(ABS(B6-('Данные'!C6/SUM('Данные'!C5:C8)))&lt;0.0001,"Верно","Проверьте"))</f>
        <v/>
      </c>
      <c r="D6" s="10" t="inlineStr">
        <is>
          <t>Заказы источника ÷ сумма заказов всех источников.</t>
        </is>
      </c>
    </row>
    <row r="7" ht="48" customHeight="1">
      <c r="A7" s="15" t="inlineStr">
        <is>
          <t>Масштабирование</t>
        </is>
      </c>
      <c r="B7" s="19" t="n"/>
      <c r="C7" s="17">
        <f>IF(B7="","Введите ответ",IF(LOWER(TRIM(B7))=LOWER(TRIM("Можно ли аккуратно увеличить трафик")) ,"Верно","Проверьте"))</f>
        <v/>
      </c>
      <c r="D7" s="10" t="inlineStr">
        <is>
          <t>Высокая эффективность при малом объёме — кандидат на осторожное масштабирование.</t>
        </is>
      </c>
    </row>
    <row r="9">
      <c r="A9" s="15" t="inlineStr">
        <is>
          <t>Прогресс</t>
        </is>
      </c>
      <c r="B9" s="20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"Можно ли аккуратно увеличить трафик,Сразу отключить,Считать только лайки"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11</t>
        </is>
      </c>
    </row>
    <row r="3" ht="52" customHeight="1">
      <c r="A3" s="21" t="inlineStr">
        <is>
          <t>Цель</t>
        </is>
      </c>
      <c r="B3" s="10" t="inlineStr">
        <is>
          <t>Выбрать, где масштабировать трафик, а где улучшать конверсию.</t>
        </is>
      </c>
    </row>
    <row r="4" ht="52" customHeight="1">
      <c r="A4" s="22" t="inlineStr">
        <is>
          <t>Формула</t>
        </is>
      </c>
      <c r="B4" s="12" t="inlineStr">
        <is>
          <t>GMV на сессию = GMV / сессии. Доля заказов источника = заказы источника / все заказы.</t>
        </is>
      </c>
    </row>
    <row r="5" ht="52" customHeight="1">
      <c r="A5" s="21" t="inlineStr">
        <is>
          <t>Как считать</t>
        </is>
      </c>
      <c r="B5" s="10" t="inlineStr">
        <is>
          <t>Сравнивайте источники по двум осям: объём и эффективность. Отдельно отмечайте платный и органический трафик.</t>
        </is>
      </c>
    </row>
    <row r="6" ht="52" customHeight="1">
      <c r="A6" s="22" t="inlineStr">
        <is>
          <t>Пример</t>
        </is>
      </c>
      <c r="B6" s="12" t="inlineStr">
        <is>
          <t>Внешний блог дал 35 заказов и 42 000 ₽ GMV: это уже качественный сигнал, даже если сессий немного.</t>
        </is>
      </c>
    </row>
    <row r="7" ht="52" customHeight="1">
      <c r="A7" s="21" t="inlineStr">
        <is>
          <t>Типичная ошибка</t>
        </is>
      </c>
      <c r="B7" s="10" t="inlineStr">
        <is>
          <t>Масштабировать источник только потому, что у него дешёвый клик.</t>
        </is>
      </c>
    </row>
    <row r="8" ht="52" customHeight="1">
      <c r="A8" s="22" t="inlineStr">
        <is>
          <t>Действие</t>
        </is>
      </c>
      <c r="B8" s="12" t="inlineStr">
        <is>
          <t>Постройте матрицу: большой объём / высокая эффективность, большой объём / низкая эффективность, малый объём / высокая эффективность.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11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GMV/сессию блога</t>
        </is>
      </c>
      <c r="B5" s="23">
        <f>'Данные'!D7/'Данные'!B7</f>
        <v/>
      </c>
      <c r="C5" s="10" t="inlineStr">
        <is>
          <t>GMV ÷ сессии; строка 7 — внешний блог.</t>
        </is>
      </c>
    </row>
    <row r="6" ht="48" customHeight="1">
      <c r="A6" s="12" t="inlineStr">
        <is>
          <t>Доля заказов поиска</t>
        </is>
      </c>
      <c r="B6" s="24">
        <f>'Данные'!C6/SUM('Данные'!C5:C8)</f>
        <v/>
      </c>
      <c r="C6" s="12" t="inlineStr">
        <is>
          <t>Заказы источника ÷ сумма заказов всех источников.</t>
        </is>
      </c>
    </row>
    <row r="7" ht="48" customHeight="1">
      <c r="A7" s="10" t="inlineStr">
        <is>
          <t>Масштабирование</t>
        </is>
      </c>
      <c r="B7" s="10" t="inlineStr">
        <is>
          <t>Можно ли аккуратно увеличить трафик</t>
        </is>
      </c>
      <c r="C7" s="10" t="inlineStr">
        <is>
          <t>Высокая эффективность при малом объёме — кандидат на осторожное масштабирование.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11: Эффективность источника: CVR и GMV на сессию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