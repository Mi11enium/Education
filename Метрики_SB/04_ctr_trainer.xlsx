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'Данные'!$A$4:$L$7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E4F4F1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3" fillId="6" borderId="1" pivotButton="0" quotePrefix="0" xfId="0"/>
    <xf numFmtId="4" fontId="3" fillId="6" borderId="1" pivotButton="0" quotePrefix="0" xfId="0"/>
    <xf numFmtId="0" fontId="4" fillId="0" borderId="0" pivotButton="0" quotePrefix="0" xfId="0"/>
    <xf numFmtId="0" fontId="3" fillId="0" borderId="0" pivotButton="0" quotePrefix="0" xfId="0"/>
    <xf numFmtId="1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2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4Data" displayName="Lesson4Data" ref="A4:L7" headerRowCount="1">
  <autoFilter ref="A4:L7"/>
  <tableColumns count="12">
    <tableColumn id="1" name="Период"/>
    <tableColumn id="2" name="Показы"/>
    <tableColumn id="3" name="Просмотры карточки"/>
    <tableColumn id="4" name="Сессии карточки"/>
    <tableColumn id="5" name="Добавления в корзину"/>
    <tableColumn id="6" name="Заказы"/>
    <tableColumn id="7" name="Покупатели"/>
    <tableColumn id="8" name="GMV, ₽"/>
    <tableColumn id="9" name="Возвраты, ₽"/>
    <tableColumn id="10" name="Себестоимость, ₽"/>
    <tableColumn id="11" name="Скидки, ₽"/>
    <tableColumn id="12" name="Товаров в заказа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4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8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20" customWidth="1" min="12" max="12"/>
  </cols>
  <sheetData>
    <row r="1" ht="30" customHeight="1">
      <c r="A1" s="1" t="inlineStr">
        <is>
          <t>Данные к уроку 4: CTR: кликабельность карточки и контента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Период</t>
        </is>
      </c>
      <c r="B4" s="9" t="inlineStr">
        <is>
          <t>Показы</t>
        </is>
      </c>
      <c r="C4" s="9" t="inlineStr">
        <is>
          <t>Просмотры карточки</t>
        </is>
      </c>
      <c r="D4" s="9" t="inlineStr">
        <is>
          <t>Сессии карточки</t>
        </is>
      </c>
      <c r="E4" s="9" t="inlineStr">
        <is>
          <t>Добавления в корзину</t>
        </is>
      </c>
      <c r="F4" s="9" t="inlineStr">
        <is>
          <t>Заказы</t>
        </is>
      </c>
      <c r="G4" s="9" t="inlineStr">
        <is>
          <t>Покупатели</t>
        </is>
      </c>
      <c r="H4" s="9" t="inlineStr">
        <is>
          <t>GMV, ₽</t>
        </is>
      </c>
      <c r="I4" s="9" t="inlineStr">
        <is>
          <t>Возвраты, ₽</t>
        </is>
      </c>
      <c r="J4" s="9" t="inlineStr">
        <is>
          <t>Себестоимость, ₽</t>
        </is>
      </c>
      <c r="K4" s="9" t="inlineStr">
        <is>
          <t>Скидки, ₽</t>
        </is>
      </c>
      <c r="L4" s="9" t="inlineStr">
        <is>
          <t>Товаров в заказах</t>
        </is>
      </c>
    </row>
    <row r="5">
      <c r="A5" s="10" t="inlineStr">
        <is>
          <t>Неделя 1</t>
        </is>
      </c>
      <c r="B5" s="11" t="n">
        <v>100000</v>
      </c>
      <c r="C5" s="11" t="n">
        <v>28000</v>
      </c>
      <c r="D5" s="11" t="n">
        <v>24000</v>
      </c>
      <c r="E5" s="11" t="n">
        <v>3500</v>
      </c>
      <c r="F5" s="11" t="n">
        <v>1200</v>
      </c>
      <c r="G5" s="11" t="n">
        <v>950</v>
      </c>
      <c r="H5" s="11" t="n">
        <v>1450000</v>
      </c>
      <c r="I5" s="11" t="n">
        <v>95000</v>
      </c>
      <c r="J5" s="11" t="n">
        <v>650000</v>
      </c>
      <c r="K5" s="11" t="n">
        <v>80000</v>
      </c>
      <c r="L5" s="11" t="n">
        <v>1450</v>
      </c>
    </row>
    <row r="6">
      <c r="A6" s="12" t="inlineStr">
        <is>
          <t>Неделя 2</t>
        </is>
      </c>
      <c r="B6" s="13" t="n">
        <v>120000</v>
      </c>
      <c r="C6" s="13" t="n">
        <v>30000</v>
      </c>
      <c r="D6" s="13" t="n">
        <v>26000</v>
      </c>
      <c r="E6" s="13" t="n">
        <v>3800</v>
      </c>
      <c r="F6" s="13" t="n">
        <v>1260</v>
      </c>
      <c r="G6" s="13" t="n">
        <v>980</v>
      </c>
      <c r="H6" s="13" t="n">
        <v>1680000</v>
      </c>
      <c r="I6" s="13" t="n">
        <v>110000</v>
      </c>
      <c r="J6" s="13" t="n">
        <v>760000</v>
      </c>
      <c r="K6" s="13" t="n">
        <v>100000</v>
      </c>
      <c r="L6" s="13" t="n">
        <v>1510</v>
      </c>
    </row>
    <row r="7">
      <c r="A7" s="10" t="inlineStr">
        <is>
          <t>Неделя 3</t>
        </is>
      </c>
      <c r="B7" s="11" t="n">
        <v>90000</v>
      </c>
      <c r="C7" s="11" t="n">
        <v>27000</v>
      </c>
      <c r="D7" s="11" t="n">
        <v>23000</v>
      </c>
      <c r="E7" s="11" t="n">
        <v>3900</v>
      </c>
      <c r="F7" s="11" t="n">
        <v>1500</v>
      </c>
      <c r="G7" s="11" t="n">
        <v>1160</v>
      </c>
      <c r="H7" s="11" t="n">
        <v>1950000</v>
      </c>
      <c r="I7" s="11" t="n">
        <v>150000</v>
      </c>
      <c r="J7" s="11" t="n">
        <v>890000</v>
      </c>
      <c r="K7" s="11" t="n">
        <v>120000</v>
      </c>
      <c r="L7" s="11" t="n">
        <v>1650</v>
      </c>
    </row>
    <row r="8">
      <c r="A8" s="14" t="inlineStr">
        <is>
          <t>Итого</t>
        </is>
      </c>
      <c r="B8" s="15">
        <f>SUM(B5:B7)</f>
        <v/>
      </c>
      <c r="C8" s="15">
        <f>SUM(C5:C7)</f>
        <v/>
      </c>
      <c r="D8" s="15">
        <f>SUM(D5:D7)</f>
        <v/>
      </c>
      <c r="E8" s="15">
        <f>SUM(E5:E7)</f>
        <v/>
      </c>
      <c r="F8" s="15">
        <f>SUM(F5:F7)</f>
        <v/>
      </c>
      <c r="G8" s="15">
        <f>SUM(G5:G7)</f>
        <v/>
      </c>
      <c r="H8" s="15">
        <f>SUM(H5:H7)</f>
        <v/>
      </c>
      <c r="I8" s="15">
        <f>SUM(I5:I7)</f>
        <v/>
      </c>
      <c r="J8" s="15">
        <f>SUM(J5:J7)</f>
        <v/>
      </c>
      <c r="K8" s="15">
        <f>SUM(K5:K7)</f>
        <v/>
      </c>
      <c r="L8" s="15">
        <f>SUM(L5:L7)</f>
        <v/>
      </c>
    </row>
  </sheetData>
  <autoFilter ref="A4:L7"/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4: CTR: кликабельность карточки и контента</t>
        </is>
      </c>
    </row>
    <row r="2">
      <c r="A2" s="16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7" t="inlineStr">
        <is>
          <t>CTR недели 2</t>
        </is>
      </c>
      <c r="B5" s="18" t="n"/>
      <c r="C5" s="19">
        <f>IF(B5="","Введите ответ",IF(ABS(B5-('Данные'!C6/'Данные'!B6))&lt;0.0001,"Верно","Проверьте"))</f>
        <v/>
      </c>
      <c r="D5" s="10" t="inlineStr">
        <is>
          <t>Просмотры карточки ÷ показы.</t>
        </is>
      </c>
    </row>
    <row r="6" ht="48" customHeight="1">
      <c r="A6" s="17" t="inlineStr">
        <is>
          <t>Изменение CTR</t>
        </is>
      </c>
      <c r="B6" s="20" t="n"/>
      <c r="C6" s="19">
        <f>IF(B6="","Введите ответ",IF(ABS(B6-(('Данные'!C6/'Данные'!B6-'Данные'!C5/'Данные'!B5)*100))&lt;0.0001,"Верно","Проверьте"))</f>
        <v/>
      </c>
      <c r="D6" s="10" t="inlineStr">
        <is>
          <t>Вычтите старый процент из нового; ответ вводите числом, например 3.</t>
        </is>
      </c>
    </row>
    <row r="7" ht="48" customHeight="1">
      <c r="A7" s="17" t="inlineStr">
        <is>
          <t>Дизайн A/B</t>
        </is>
      </c>
      <c r="B7" s="21" t="n"/>
      <c r="C7" s="19">
        <f>IF(B7="","Введите ответ",IF(LOWER(TRIM(B7))=LOWER(TRIM("Один элемент")) ,"Верно","Проверьте"))</f>
        <v/>
      </c>
      <c r="D7" s="10" t="inlineStr">
        <is>
          <t>Один элемент даёт читаемый результат и исключает смешение причин.</t>
        </is>
      </c>
    </row>
    <row r="9">
      <c r="A9" s="17" t="inlineStr">
        <is>
          <t>Прогресс</t>
        </is>
      </c>
      <c r="B9" s="22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"Один элемент,Всё сразу,Только цвет кнопки"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4</t>
        </is>
      </c>
    </row>
    <row r="3" ht="52" customHeight="1">
      <c r="A3" s="23" t="inlineStr">
        <is>
          <t>Цель</t>
        </is>
      </c>
      <c r="B3" s="10" t="inlineStr">
        <is>
          <t>Оценить, насколько заголовок, фото и позиция привлекают внимание.</t>
        </is>
      </c>
    </row>
    <row r="4" ht="52" customHeight="1">
      <c r="A4" s="24" t="inlineStr">
        <is>
          <t>Формула</t>
        </is>
      </c>
      <c r="B4" s="12" t="inlineStr">
        <is>
          <t>CTR = клики / показы × 100%.</t>
        </is>
      </c>
    </row>
    <row r="5" ht="52" customHeight="1">
      <c r="A5" s="23" t="inlineStr">
        <is>
          <t>Как считать</t>
        </is>
      </c>
      <c r="B5" s="10" t="inlineStr">
        <is>
          <t>Сравнивайте одинаковые срезы: один канал, один период, одинаковая позиция. Разделяйте CTR карточки и CTR контента — это разные знаменатели.</t>
        </is>
      </c>
    </row>
    <row r="6" ht="52" customHeight="1">
      <c r="A6" s="24" t="inlineStr">
        <is>
          <t>Пример</t>
        </is>
      </c>
      <c r="B6" s="12" t="inlineStr">
        <is>
          <t>Показы 120 000, просмотры карточки 30 000: CTR = 25%. Рост с 22% до 25% — это +3 процентных пункта, а не +3%.</t>
        </is>
      </c>
    </row>
    <row r="7" ht="52" customHeight="1">
      <c r="A7" s="23" t="inlineStr">
        <is>
          <t>Типичная ошибка</t>
        </is>
      </c>
      <c r="B7" s="10" t="inlineStr">
        <is>
          <t>Считать процентный пункт процентом или приписывать весь рост CTR одному элементу карточки.</t>
        </is>
      </c>
    </row>
    <row r="8" ht="52" customHeight="1">
      <c r="A8" s="24" t="inlineStr">
        <is>
          <t>Действие</t>
        </is>
      </c>
      <c r="B8" s="12" t="inlineStr">
        <is>
          <t>Проводите A/B-тест одного элемента за раз: заголовок, фото или оффер. Фиксируйте период и источник.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4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CTR недели 2</t>
        </is>
      </c>
      <c r="B5" s="25">
        <f>'Данные'!C6/'Данные'!B6</f>
        <v/>
      </c>
      <c r="C5" s="10" t="inlineStr">
        <is>
          <t>Просмотры карточки ÷ показы.</t>
        </is>
      </c>
    </row>
    <row r="6" ht="48" customHeight="1">
      <c r="A6" s="12" t="inlineStr">
        <is>
          <t>Изменение CTR</t>
        </is>
      </c>
      <c r="B6" s="26">
        <f>('Данные'!C6/'Данные'!B6-'Данные'!C5/'Данные'!B5)*100</f>
        <v/>
      </c>
      <c r="C6" s="12" t="inlineStr">
        <is>
          <t>Вычтите старый процент из нового; ответ вводите числом, например 3.</t>
        </is>
      </c>
    </row>
    <row r="7" ht="48" customHeight="1">
      <c r="A7" s="10" t="inlineStr">
        <is>
          <t>Дизайн A/B</t>
        </is>
      </c>
      <c r="B7" s="10" t="inlineStr">
        <is>
          <t>Один элемент</t>
        </is>
      </c>
      <c r="C7" s="10" t="inlineStr">
        <is>
          <t>Один элемент даёт читаемый результат и исключает смешение причин.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4: CTR: кликабельность карточки и контента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