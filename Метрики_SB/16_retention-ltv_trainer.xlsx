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'Данные'!$A$4:$E$7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2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6Data" displayName="Lesson16Data" ref="A4:E7" headerRowCount="1">
  <autoFilter ref="A4:E7"/>
  <tableColumns count="5">
    <tableColumn id="1" name="Когорта"/>
    <tableColumn id="2" name="Первые покупатели"/>
    <tableColumn id="3" name="Повторные 30 дней"/>
    <tableColumn id="4" name="Заказы"/>
    <tableColumn id="5" name="Выручка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16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4" customWidth="1" min="4" max="4"/>
    <col width="14" customWidth="1" min="5" max="5"/>
  </cols>
  <sheetData>
    <row r="1" ht="30" customHeight="1">
      <c r="A1" s="1" t="inlineStr">
        <is>
          <t>Данные к уроку 16: Повторные покупки, retention и LTV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Когорта</t>
        </is>
      </c>
      <c r="B4" s="9" t="inlineStr">
        <is>
          <t>Первые покупатели</t>
        </is>
      </c>
      <c r="C4" s="9" t="inlineStr">
        <is>
          <t>Повторные 30 дней</t>
        </is>
      </c>
      <c r="D4" s="9" t="inlineStr">
        <is>
          <t>Заказы</t>
        </is>
      </c>
      <c r="E4" s="9" t="inlineStr">
        <is>
          <t>Выручка, ₽</t>
        </is>
      </c>
    </row>
    <row r="5">
      <c r="A5" s="10" t="inlineStr">
        <is>
          <t>Январь</t>
        </is>
      </c>
      <c r="B5" s="11" t="n">
        <v>1000</v>
      </c>
      <c r="C5" s="11" t="n">
        <v>250</v>
      </c>
      <c r="D5" s="11" t="n">
        <v>1400</v>
      </c>
      <c r="E5" s="11" t="n">
        <v>1820000</v>
      </c>
    </row>
    <row r="6">
      <c r="A6" s="12" t="inlineStr">
        <is>
          <t>Февраль</t>
        </is>
      </c>
      <c r="B6" s="13" t="n">
        <v>1200</v>
      </c>
      <c r="C6" s="13" t="n">
        <v>270</v>
      </c>
      <c r="D6" s="13" t="n">
        <v>1600</v>
      </c>
      <c r="E6" s="13" t="n">
        <v>2160000</v>
      </c>
    </row>
    <row r="7">
      <c r="A7" s="10" t="inlineStr">
        <is>
          <t>Март</t>
        </is>
      </c>
      <c r="B7" s="11" t="n">
        <v>1100</v>
      </c>
      <c r="C7" s="11" t="n">
        <v>330</v>
      </c>
      <c r="D7" s="11" t="n">
        <v>1700</v>
      </c>
      <c r="E7" s="11" t="n">
        <v>2380000</v>
      </c>
    </row>
  </sheetData>
  <autoFilter ref="A4:E7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16: Повторные покупки, retention и LTV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Repeat rate января</t>
        </is>
      </c>
      <c r="B5" s="16" t="n"/>
      <c r="C5" s="17">
        <f>IF(B5="","Введите ответ",IF(ABS(B5-('Данные'!C5/'Данные'!B5))&lt;0.0001,"Верно","Проверьте"))</f>
        <v/>
      </c>
      <c r="D5" s="10" t="inlineStr">
        <is>
          <t>Повторные ÷ первые покупатели; строка 5 — январь.</t>
        </is>
      </c>
    </row>
    <row r="6" ht="48" customHeight="1">
      <c r="A6" s="15" t="inlineStr">
        <is>
          <t>Заказы на покупателя марта</t>
        </is>
      </c>
      <c r="B6" s="18" t="n"/>
      <c r="C6" s="17">
        <f>IF(B6="","Введите ответ",IF(ABS(B6-('Данные'!D7/'Данные'!B7))&lt;0.0001,"Верно","Проверьте"))</f>
        <v/>
      </c>
      <c r="D6" s="10" t="inlineStr">
        <is>
          <t>Заказы ÷ первые покупатели.</t>
        </is>
      </c>
    </row>
    <row r="7" ht="48" customHeight="1">
      <c r="A7" s="15" t="inlineStr">
        <is>
          <t>Метрика удержания</t>
        </is>
      </c>
      <c r="B7" s="19" t="n"/>
      <c r="C7" s="17">
        <f>IF(B7="","Введите ответ",IF(LOWER(TRIM(B7))=LOWER(TRIM("Retention 30 дней")) ,"Верно","Проверьте"))</f>
        <v/>
      </c>
      <c r="D7" s="10" t="inlineStr">
        <is>
          <t>Когорта отделяет новых покупателей от уже активной базы.</t>
        </is>
      </c>
    </row>
    <row r="9">
      <c r="A9" s="15" t="inlineStr">
        <is>
          <t>Прогресс</t>
        </is>
      </c>
      <c r="B9" s="20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"Retention 30 дней,GMV за день,Показы карточки"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16</t>
        </is>
      </c>
    </row>
    <row r="3" ht="52" customHeight="1">
      <c r="A3" s="21" t="inlineStr">
        <is>
          <t>Цель</t>
        </is>
      </c>
      <c r="B3" s="10" t="inlineStr">
        <is>
          <t>Понять, что маркетплейс-менеджер может улучшить после первой покупки.</t>
        </is>
      </c>
    </row>
    <row r="4" ht="52" customHeight="1">
      <c r="A4" s="22" t="inlineStr">
        <is>
          <t>Формула</t>
        </is>
      </c>
      <c r="B4" s="12" t="inlineStr">
        <is>
          <t>Repeat rate 30 дней = повторные покупатели через 30 дней / когорта первых покупателей. Простой LTV proxy = средний заказ × среднее число заказов за период.</t>
        </is>
      </c>
    </row>
    <row r="5" ht="52" customHeight="1">
      <c r="A5" s="21" t="inlineStr">
        <is>
          <t>Как считать</t>
        </is>
      </c>
      <c r="B5" s="10" t="inlineStr">
        <is>
          <t>Стройте когорты по дате первой покупки и смотрите на 30/60/90 дней. Не называйте общий repeat rate retention: нужны когорты и временное окно.</t>
        </is>
      </c>
    </row>
    <row r="6" ht="52" customHeight="1">
      <c r="A6" s="22" t="inlineStr">
        <is>
          <t>Пример</t>
        </is>
      </c>
      <c r="B6" s="12" t="inlineStr">
        <is>
          <t>Из 1000 покупателей 250 вернулись через 30 дней: repeat rate 30 дней = 25%.</t>
        </is>
      </c>
    </row>
    <row r="7" ht="52" customHeight="1">
      <c r="A7" s="21" t="inlineStr">
        <is>
          <t>Типичная ошибка</t>
        </is>
      </c>
      <c r="B7" s="10" t="inlineStr">
        <is>
          <t>Считать LTV как текущую выручку и обещать его без окна атрибуции и правил когорт.</t>
        </is>
      </c>
    </row>
    <row r="8" ht="52" customHeight="1">
      <c r="A8" s="22" t="inlineStr">
        <is>
          <t>Действие</t>
        </is>
      </c>
      <c r="B8" s="12" t="inlineStr">
        <is>
          <t>Для набора удержания используйте сертификаты, подписку, подсказки повторной покупки и качество первого заказа — по данным, а не по интуиции.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16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Repeat rate января</t>
        </is>
      </c>
      <c r="B5" s="23">
        <f>'Данные'!C5/'Данные'!B5</f>
        <v/>
      </c>
      <c r="C5" s="10" t="inlineStr">
        <is>
          <t>Повторные ÷ первые покупатели; строка 5 — январь.</t>
        </is>
      </c>
    </row>
    <row r="6" ht="48" customHeight="1">
      <c r="A6" s="12" t="inlineStr">
        <is>
          <t>Заказы на покупателя марта</t>
        </is>
      </c>
      <c r="B6" s="24">
        <f>'Данные'!D7/'Данные'!B7</f>
        <v/>
      </c>
      <c r="C6" s="12" t="inlineStr">
        <is>
          <t>Заказы ÷ первые покупатели.</t>
        </is>
      </c>
    </row>
    <row r="7" ht="48" customHeight="1">
      <c r="A7" s="10" t="inlineStr">
        <is>
          <t>Метрика удержания</t>
        </is>
      </c>
      <c r="B7" s="10" t="inlineStr">
        <is>
          <t>Retention 30 дней</t>
        </is>
      </c>
      <c r="C7" s="10" t="inlineStr">
        <is>
          <t>Когорта отделяет новых покупателей от уже активной базы.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16: Повторные покупки, retention и LTV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