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'Данные'!$A$4:$L$7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 ₽"/>
  </numFmts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E4F4F1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3" fillId="6" borderId="1" pivotButton="0" quotePrefix="0" xfId="0"/>
    <xf numFmtId="4" fontId="3" fillId="6" borderId="1" pivotButton="0" quotePrefix="0" xfId="0"/>
    <xf numFmtId="0" fontId="4" fillId="0" borderId="0" pivotButton="0" quotePrefix="0" xfId="0"/>
    <xf numFmtId="0" fontId="3" fillId="0" borderId="0" pivotButton="0" quotePrefix="0" xfId="0"/>
    <xf numFmtId="164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3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2Data" displayName="Lesson2Data" ref="A4:L7" headerRowCount="1">
  <autoFilter ref="A4:L7"/>
  <tableColumns count="12">
    <tableColumn id="1" name="Период"/>
    <tableColumn id="2" name="Показы"/>
    <tableColumn id="3" name="Просмотры карточки"/>
    <tableColumn id="4" name="Сессии карточки"/>
    <tableColumn id="5" name="Добавления в корзину"/>
    <tableColumn id="6" name="Заказы"/>
    <tableColumn id="7" name="Покупатели"/>
    <tableColumn id="8" name="GMV, ₽"/>
    <tableColumn id="9" name="Возвраты, ₽"/>
    <tableColumn id="10" name="Себестоимость, ₽"/>
    <tableColumn id="11" name="Скидки, ₽"/>
    <tableColumn id="12" name="Товаров в заказа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2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20" customWidth="1" min="12" max="12"/>
  </cols>
  <sheetData>
    <row r="1" ht="30" customHeight="1">
      <c r="A1" s="1" t="inlineStr">
        <is>
          <t>Данные к уроку 2: Дерево метрик и north-star metric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Период</t>
        </is>
      </c>
      <c r="B4" s="9" t="inlineStr">
        <is>
          <t>Показы</t>
        </is>
      </c>
      <c r="C4" s="9" t="inlineStr">
        <is>
          <t>Просмотры карточки</t>
        </is>
      </c>
      <c r="D4" s="9" t="inlineStr">
        <is>
          <t>Сессии карточки</t>
        </is>
      </c>
      <c r="E4" s="9" t="inlineStr">
        <is>
          <t>Добавления в корзину</t>
        </is>
      </c>
      <c r="F4" s="9" t="inlineStr">
        <is>
          <t>Заказы</t>
        </is>
      </c>
      <c r="G4" s="9" t="inlineStr">
        <is>
          <t>Покупатели</t>
        </is>
      </c>
      <c r="H4" s="9" t="inlineStr">
        <is>
          <t>GMV, ₽</t>
        </is>
      </c>
      <c r="I4" s="9" t="inlineStr">
        <is>
          <t>Возвраты, ₽</t>
        </is>
      </c>
      <c r="J4" s="9" t="inlineStr">
        <is>
          <t>Себестоимость, ₽</t>
        </is>
      </c>
      <c r="K4" s="9" t="inlineStr">
        <is>
          <t>Скидки, ₽</t>
        </is>
      </c>
      <c r="L4" s="9" t="inlineStr">
        <is>
          <t>Товаров в заказах</t>
        </is>
      </c>
    </row>
    <row r="5">
      <c r="A5" s="10" t="inlineStr">
        <is>
          <t>Неделя 1</t>
        </is>
      </c>
      <c r="B5" s="11" t="n">
        <v>100000</v>
      </c>
      <c r="C5" s="11" t="n">
        <v>28000</v>
      </c>
      <c r="D5" s="11" t="n">
        <v>24000</v>
      </c>
      <c r="E5" s="11" t="n">
        <v>3500</v>
      </c>
      <c r="F5" s="11" t="n">
        <v>1200</v>
      </c>
      <c r="G5" s="11" t="n">
        <v>950</v>
      </c>
      <c r="H5" s="11" t="n">
        <v>1450000</v>
      </c>
      <c r="I5" s="11" t="n">
        <v>95000</v>
      </c>
      <c r="J5" s="11" t="n">
        <v>650000</v>
      </c>
      <c r="K5" s="11" t="n">
        <v>80000</v>
      </c>
      <c r="L5" s="11" t="n">
        <v>1450</v>
      </c>
    </row>
    <row r="6">
      <c r="A6" s="12" t="inlineStr">
        <is>
          <t>Неделя 2</t>
        </is>
      </c>
      <c r="B6" s="13" t="n">
        <v>120000</v>
      </c>
      <c r="C6" s="13" t="n">
        <v>30000</v>
      </c>
      <c r="D6" s="13" t="n">
        <v>26000</v>
      </c>
      <c r="E6" s="13" t="n">
        <v>3800</v>
      </c>
      <c r="F6" s="13" t="n">
        <v>1260</v>
      </c>
      <c r="G6" s="13" t="n">
        <v>980</v>
      </c>
      <c r="H6" s="13" t="n">
        <v>1680000</v>
      </c>
      <c r="I6" s="13" t="n">
        <v>110000</v>
      </c>
      <c r="J6" s="13" t="n">
        <v>760000</v>
      </c>
      <c r="K6" s="13" t="n">
        <v>100000</v>
      </c>
      <c r="L6" s="13" t="n">
        <v>1510</v>
      </c>
    </row>
    <row r="7">
      <c r="A7" s="10" t="inlineStr">
        <is>
          <t>Неделя 3</t>
        </is>
      </c>
      <c r="B7" s="11" t="n">
        <v>90000</v>
      </c>
      <c r="C7" s="11" t="n">
        <v>27000</v>
      </c>
      <c r="D7" s="11" t="n">
        <v>23000</v>
      </c>
      <c r="E7" s="11" t="n">
        <v>3900</v>
      </c>
      <c r="F7" s="11" t="n">
        <v>1500</v>
      </c>
      <c r="G7" s="11" t="n">
        <v>1160</v>
      </c>
      <c r="H7" s="11" t="n">
        <v>1950000</v>
      </c>
      <c r="I7" s="11" t="n">
        <v>150000</v>
      </c>
      <c r="J7" s="11" t="n">
        <v>890000</v>
      </c>
      <c r="K7" s="11" t="n">
        <v>120000</v>
      </c>
      <c r="L7" s="11" t="n">
        <v>1650</v>
      </c>
    </row>
    <row r="8">
      <c r="A8" s="14" t="inlineStr">
        <is>
          <t>Итого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5">
        <f>SUM(F5:F7)</f>
        <v/>
      </c>
      <c r="G8" s="15">
        <f>SUM(G5:G7)</f>
        <v/>
      </c>
      <c r="H8" s="15">
        <f>SUM(H5:H7)</f>
        <v/>
      </c>
      <c r="I8" s="15">
        <f>SUM(I5:I7)</f>
        <v/>
      </c>
      <c r="J8" s="15">
        <f>SUM(J5:J7)</f>
        <v/>
      </c>
      <c r="K8" s="15">
        <f>SUM(K5:K7)</f>
        <v/>
      </c>
      <c r="L8" s="15">
        <f>SUM(L5:L7)</f>
        <v/>
      </c>
    </row>
  </sheetData>
  <autoFilter ref="A4:L7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2: Дерево метрик и north-star metric</t>
        </is>
      </c>
    </row>
    <row r="2">
      <c r="A2" s="16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7" t="inlineStr">
        <is>
          <t>AOV недели 2</t>
        </is>
      </c>
      <c r="B5" s="18" t="n"/>
      <c r="C5" s="19">
        <f>IF(B5="","Введите ответ",IF(ABS(B5-('Данные'!H6/'Данные'!F6))&lt;0.0001,"Верно","Проверьте"))</f>
        <v/>
      </c>
      <c r="D5" s="10" t="inlineStr">
        <is>
          <t>Разделите GMV на число заказов; денежный результат вводите числом без символа ₽.</t>
        </is>
      </c>
    </row>
    <row r="6" ht="48" customHeight="1">
      <c r="A6" s="17" t="inlineStr">
        <is>
          <t>Заказы по цепочке</t>
        </is>
      </c>
      <c r="B6" s="20" t="n"/>
      <c r="C6" s="19">
        <f>IF(B6="","Введите ответ",IF(ABS(B6-(100000*0.04*0.10))&lt;0.0001,"Верно","Проверьте"))</f>
        <v/>
      </c>
      <c r="D6" s="10" t="inlineStr">
        <is>
          <t>Перемножьте доли, а не проценты: 4% = 0,04.</t>
        </is>
      </c>
    </row>
    <row r="7" ht="48" customHeight="1">
      <c r="A7" s="17" t="inlineStr">
        <is>
          <t>Первый диагностический шаг</t>
        </is>
      </c>
      <c r="B7" s="21" t="n"/>
      <c r="C7" s="19">
        <f>IF(B7="","Введите ответ",IF(LOWER(TRIM(B7))=LOWER(TRIM("Самый большой вклад в падение")) ,"Верно","Проверьте"))</f>
        <v/>
      </c>
      <c r="D7" s="10" t="inlineStr">
        <is>
          <t>Сначала изолируйте узел с largest drop, затем проверяйте гипотезы.</t>
        </is>
      </c>
    </row>
    <row r="9">
      <c r="A9" s="17" t="inlineStr">
        <is>
          <t>Прогресс</t>
        </is>
      </c>
      <c r="B9" s="22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"Самый большой вклад в падение,Самый красивый отчёт,Только CTR"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2</t>
        </is>
      </c>
    </row>
    <row r="3" ht="52" customHeight="1">
      <c r="A3" s="23" t="inlineStr">
        <is>
          <t>Цель</t>
        </is>
      </c>
      <c r="B3" s="10" t="inlineStr">
        <is>
          <t>Связать north-star метрику с драйверами первого и второго уровня.</t>
        </is>
      </c>
    </row>
    <row r="4" ht="52" customHeight="1">
      <c r="A4" s="24" t="inlineStr">
        <is>
          <t>Формула</t>
        </is>
      </c>
      <c r="B4" s="12" t="inlineStr">
        <is>
          <t>GMV = Показы × CTR × CVR × AOV. AOV = выручка / заказы.</t>
        </is>
      </c>
    </row>
    <row r="5" ht="52" customHeight="1">
      <c r="A5" s="23" t="inlineStr">
        <is>
          <t>Как считать</t>
        </is>
      </c>
      <c r="B5" s="10" t="inlineStr">
        <is>
          <t>Дерево строится от результата к действиям. Сначала сравните итог с планом, затем найдите узел с наибольшим вкладом в отклонение и проверяйте его глубже.</t>
        </is>
      </c>
    </row>
    <row r="6" ht="52" customHeight="1">
      <c r="A6" s="24" t="inlineStr">
        <is>
          <t>Пример</t>
        </is>
      </c>
      <c r="B6" s="12" t="inlineStr">
        <is>
          <t>Если GMV снизился, последовательно проверьте показы, CTR, CVR и AOV. Не исправляйте карточку, если трафик упал на 30%.</t>
        </is>
      </c>
    </row>
    <row r="7" ht="52" customHeight="1">
      <c r="A7" s="23" t="inlineStr">
        <is>
          <t>Типичная ошибка</t>
        </is>
      </c>
      <c r="B7" s="10" t="inlineStr">
        <is>
          <t>Оптимизировать один узел, не проверив, что именно изменилось; путать north-star с удобной операционной метрикой.</t>
        </is>
      </c>
    </row>
    <row r="8" ht="52" customHeight="1">
      <c r="A8" s="24" t="inlineStr">
        <is>
          <t>Действие</t>
        </is>
      </c>
      <c r="B8" s="12" t="inlineStr">
        <is>
          <t>Нарисуйте дерево на одной странице: один корень, 3–5 драйверов и по 1–2 дочерних показателя у каждого.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2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AOV недели 2</t>
        </is>
      </c>
      <c r="B5" s="25">
        <f>'Данные'!H6/'Данные'!F6</f>
        <v/>
      </c>
      <c r="C5" s="10" t="inlineStr">
        <is>
          <t>Разделите GMV на число заказов; денежный результат вводите числом без символа ₽.</t>
        </is>
      </c>
    </row>
    <row r="6" ht="48" customHeight="1">
      <c r="A6" s="12" t="inlineStr">
        <is>
          <t>Заказы по цепочке</t>
        </is>
      </c>
      <c r="B6" s="13">
        <f>100000*0.04*0.10</f>
        <v/>
      </c>
      <c r="C6" s="12" t="inlineStr">
        <is>
          <t>Перемножьте доли, а не проценты: 4% = 0,04.</t>
        </is>
      </c>
    </row>
    <row r="7" ht="48" customHeight="1">
      <c r="A7" s="10" t="inlineStr">
        <is>
          <t>Первый диагностический шаг</t>
        </is>
      </c>
      <c r="B7" s="10" t="inlineStr">
        <is>
          <t>Самый большой вклад в падение</t>
        </is>
      </c>
      <c r="C7" s="10" t="inlineStr">
        <is>
          <t>Сначала изолируйте узел с largest drop, затем проверяйте гипотезы.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2: Дерево метрик и north-star metric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