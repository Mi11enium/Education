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'Данные'!$A$4:$D$6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2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9Data" displayName="Lesson19Data" ref="A4:D6" headerRowCount="1">
  <autoFilter ref="A4:D6"/>
  <tableColumns count="4">
    <tableColumn id="1" name="Вариант"/>
    <tableColumn id="2" name="Сессии"/>
    <tableColumn id="3" name="Заказы"/>
    <tableColumn id="4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19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Данные к уроку 19: Дашборд и A/B-тест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Вариант</t>
        </is>
      </c>
      <c r="B4" s="9" t="inlineStr">
        <is>
          <t>Сессии</t>
        </is>
      </c>
      <c r="C4" s="9" t="inlineStr">
        <is>
          <t>Заказы</t>
        </is>
      </c>
      <c r="D4" s="9" t="inlineStr">
        <is>
          <t>GMV, ₽</t>
        </is>
      </c>
    </row>
    <row r="5">
      <c r="A5" s="10" t="inlineStr">
        <is>
          <t>A</t>
        </is>
      </c>
      <c r="B5" s="11" t="n">
        <v>1000</v>
      </c>
      <c r="C5" s="11" t="n">
        <v>50</v>
      </c>
      <c r="D5" s="11" t="n">
        <v>65000</v>
      </c>
    </row>
    <row r="6">
      <c r="A6" s="12" t="inlineStr">
        <is>
          <t>B</t>
        </is>
      </c>
      <c r="B6" s="13" t="n">
        <v>1000</v>
      </c>
      <c r="C6" s="13" t="n">
        <v>60</v>
      </c>
      <c r="D6" s="13" t="n">
        <v>78000</v>
      </c>
    </row>
  </sheetData>
  <autoFilter ref="A4:D6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19: Дашборд и A/B-тест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CVR A</t>
        </is>
      </c>
      <c r="B5" s="16" t="n"/>
      <c r="C5" s="17">
        <f>IF(B5="","Введите ответ",IF(ABS(B5-('Данные'!C5/'Данные'!B5))&lt;0.0001,"Верно","Проверьте"))</f>
        <v/>
      </c>
      <c r="D5" s="10" t="inlineStr">
        <is>
          <t>Заказы ÷ сессии.</t>
        </is>
      </c>
    </row>
    <row r="6" ht="48" customHeight="1">
      <c r="A6" s="15" t="inlineStr">
        <is>
          <t>CVR B</t>
        </is>
      </c>
      <c r="B6" s="16" t="n"/>
      <c r="C6" s="17">
        <f>IF(B6="","Введите ответ",IF(ABS(B6-('Данные'!C6/'Данные'!B6))&lt;0.0001,"Верно","Проверьте"))</f>
        <v/>
      </c>
      <c r="D6" s="10" t="inlineStr">
        <is>
          <t>Заказы ÷ сессии.</t>
        </is>
      </c>
    </row>
    <row r="7" ht="48" customHeight="1">
      <c r="A7" s="15" t="inlineStr">
        <is>
          <t>Lift B к A</t>
        </is>
      </c>
      <c r="B7" s="18" t="n"/>
      <c r="C7" s="17">
        <f>IF(B7="","Введите ответ",IF(ABS(B7-(('Данные'!C6/'Данные'!B6-'Данные'!C5/'Данные'!B5)/('Данные'!C5/'Данные'!B5)*100))&lt;0.0001,"Верно","Проверьте"))</f>
        <v/>
      </c>
      <c r="D7" s="10" t="inlineStr">
        <is>
          <t>Ответ вводите числом, например 20.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19</t>
        </is>
      </c>
    </row>
    <row r="3" ht="52" customHeight="1">
      <c r="A3" s="20" t="inlineStr">
        <is>
          <t>Цель</t>
        </is>
      </c>
      <c r="B3" s="10" t="inlineStr">
        <is>
          <t>Сделать отчёт, который отвечает на управленческий вопрос, и проверить гипотезу.</t>
        </is>
      </c>
    </row>
    <row r="4" ht="52" customHeight="1">
      <c r="A4" s="21" t="inlineStr">
        <is>
          <t>Формула</t>
        </is>
      </c>
      <c r="B4" s="12" t="inlineStr">
        <is>
          <t>Lift варианта = (метрика B − метрика A) / метрика A × 100%. CVR = заказы / сессии.</t>
        </is>
      </c>
    </row>
    <row r="5" ht="52" customHeight="1">
      <c r="A5" s="20" t="inlineStr">
        <is>
          <t>Как считать</t>
        </is>
      </c>
      <c r="B5" s="10" t="inlineStr">
        <is>
          <t>Сначала сформулируйте вопрос и решение. Затем задайте один основной KPI, контрольные метрики, период и критерий победы. Не меняйте несколько элементов сразу.</t>
        </is>
      </c>
    </row>
    <row r="6" ht="52" customHeight="1">
      <c r="A6" s="21" t="inlineStr">
        <is>
          <t>Пример</t>
        </is>
      </c>
      <c r="B6" s="12" t="inlineStr">
        <is>
          <t>A: 1000 сессий, 50 заказов. B: 1000 сессий, 60 заказов. CVR A = 5%, CVR B = 6%, lift = 20%.</t>
        </is>
      </c>
    </row>
    <row r="7" ht="52" customHeight="1">
      <c r="A7" s="20" t="inlineStr">
        <is>
          <t>Типичная ошибка</t>
        </is>
      </c>
      <c r="B7" s="10" t="inlineStr">
        <is>
          <t>Объявлять победителя по одному неудачному дню или сравнивать разные периоды и источники.</t>
        </is>
      </c>
    </row>
    <row r="8" ht="52" customHeight="1">
      <c r="A8" s="21" t="inlineStr">
        <is>
          <t>Действие</t>
        </is>
      </c>
      <c r="B8" s="12" t="inlineStr">
        <is>
          <t>Перед тестом заранее запишите гипотезу, метрику, длительность и критерий остановки.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19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CVR A</t>
        </is>
      </c>
      <c r="B5" s="22">
        <f>'Данные'!C5/'Данные'!B5</f>
        <v/>
      </c>
      <c r="C5" s="10" t="inlineStr">
        <is>
          <t>Заказы ÷ сессии.</t>
        </is>
      </c>
    </row>
    <row r="6" ht="48" customHeight="1">
      <c r="A6" s="12" t="inlineStr">
        <is>
          <t>CVR B</t>
        </is>
      </c>
      <c r="B6" s="23">
        <f>'Данные'!C6/'Данные'!B6</f>
        <v/>
      </c>
      <c r="C6" s="12" t="inlineStr">
        <is>
          <t>Заказы ÷ сессии.</t>
        </is>
      </c>
    </row>
    <row r="7" ht="48" customHeight="1">
      <c r="A7" s="10" t="inlineStr">
        <is>
          <t>Lift B к A</t>
        </is>
      </c>
      <c r="B7" s="24">
        <f>('Данные'!C6/'Данные'!B6-'Данные'!C5/'Данные'!B5)/('Данные'!C5/'Данные'!B5)*100</f>
        <v/>
      </c>
      <c r="C7" s="10" t="inlineStr">
        <is>
          <t>Ответ вводите числом, например 20.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19: Дашборд и A/B-тест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2026-09-23T20:47:06Z</dcterms:created>
  <dcterms:modified xmlns:dcterms="http://purl.org/dc/terms/" xmlns:xsi="http://www.w3.org/2001/XMLSchema-instance" xsi:type="dcterms:W3CDTF">2026-09-23T20:47:06Z</dcterms:modified>
</cp:coreProperties>
</file>