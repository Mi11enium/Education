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анные" sheetId="2" state="visible" r:id="rId2"/>
    <sheet xmlns:r="http://schemas.openxmlformats.org/officeDocument/2006/relationships" name="Практика" sheetId="3" state="visible" r:id="rId3"/>
    <sheet xmlns:r="http://schemas.openxmlformats.org/officeDocument/2006/relationships" name="Справочник" sheetId="4" state="visible" r:id="rId4"/>
    <sheet xmlns:r="http://schemas.openxmlformats.org/officeDocument/2006/relationships" name="Ответы" sheetId="5" state="hidden" r:id="rId5"/>
  </sheets>
  <definedNames>
    <definedName name="_xlnm._FilterDatabase" localSheetId="1" hidden="1">'Данные'!$A$4:$L$7</definedName>
    <definedName name="_xlnm._FilterDatabase" localSheetId="2" hidden="1">'Практика'!$A$4:$D$7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 ₽"/>
  </numFmts>
  <fonts count="6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0"/>
    </font>
    <font>
      <name val="Aptos"/>
      <b val="1"/>
      <color rgb="0017324D"/>
      <sz val="10"/>
    </font>
    <font>
      <name val="Aptos"/>
      <i val="1"/>
      <color rgb="006B7280"/>
    </font>
    <font>
      <name val="Aptos"/>
      <b val="1"/>
      <color rgb="00007C83"/>
    </font>
  </fonts>
  <fills count="9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A6A6"/>
      </patternFill>
    </fill>
    <fill>
      <patternFill patternType="solid">
        <fgColor rgb="00E7EFF8"/>
      </patternFill>
    </fill>
    <fill>
      <patternFill patternType="solid">
        <fgColor rgb="00F4F7F9"/>
      </patternFill>
    </fill>
    <fill>
      <patternFill patternType="solid">
        <fgColor rgb="00E4F4F1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3" fillId="6" borderId="1" pivotButton="0" quotePrefix="0" xfId="0"/>
    <xf numFmtId="4" fontId="3" fillId="6" borderId="1" pivotButton="0" quotePrefix="0" xfId="0"/>
    <xf numFmtId="0" fontId="4" fillId="0" borderId="0" pivotButton="0" quotePrefix="0" xfId="0"/>
    <xf numFmtId="0" fontId="3" fillId="0" borderId="0" pivotButton="0" quotePrefix="0" xfId="0"/>
    <xf numFmtId="164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1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CE8E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Lesson10Data" displayName="Lesson10Data" ref="A4:L7" headerRowCount="1">
  <autoFilter ref="A4:L7"/>
  <tableColumns count="12">
    <tableColumn id="1" name="Период"/>
    <tableColumn id="2" name="Показы"/>
    <tableColumn id="3" name="Просмотры карточки"/>
    <tableColumn id="4" name="Сессии карточки"/>
    <tableColumn id="5" name="Добавления в корзину"/>
    <tableColumn id="6" name="Заказы"/>
    <tableColumn id="7" name="Покупатели"/>
    <tableColumn id="8" name="GMV, ₽"/>
    <tableColumn id="9" name="Возвраты, ₽"/>
    <tableColumn id="10" name="Себестоимость, ₽"/>
    <tableColumn id="11" name="Скидки, ₽"/>
    <tableColumn id="12" name="Товаров в заказах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5" customWidth="1" min="2" max="2"/>
  </cols>
  <sheetData>
    <row r="1" ht="30" customHeight="1">
      <c r="A1" s="1" t="inlineStr">
        <is>
          <t>Как пройти тренажёр 10</t>
        </is>
      </c>
    </row>
    <row r="3" ht="42" customHeight="1">
      <c r="A3" s="2" t="inlineStr">
        <is>
          <t>1</t>
        </is>
      </c>
      <c r="B3" s="3" t="inlineStr">
        <is>
          <t>Откройте лист «Данные» и при необходимости замените учебные значения своими.</t>
        </is>
      </c>
    </row>
    <row r="4" ht="42" customHeight="1">
      <c r="A4" s="4" t="inlineStr">
        <is>
          <t>2</t>
        </is>
      </c>
      <c r="B4" s="5" t="inlineStr">
        <is>
          <t>Откройте лист «Практика» и введите ответы только в жёлтые ячейки столбца B.</t>
        </is>
      </c>
    </row>
    <row r="5" ht="42" customHeight="1">
      <c r="A5" s="2" t="inlineStr">
        <is>
          <t>3</t>
        </is>
      </c>
      <c r="B5" s="3" t="inlineStr">
        <is>
          <t>Смотрите столбец C: «Верно» или «Проверьте». В столбце D находится правило, которое нужно вспомнить.</t>
        </is>
      </c>
    </row>
    <row r="6" ht="42" customHeight="1">
      <c r="A6" s="4" t="inlineStr">
        <is>
          <t>4</t>
        </is>
      </c>
      <c r="B6" s="5" t="inlineStr">
        <is>
          <t>Если нужно самопроверка, откройте скрытый лист «Ответы»: правой кнопкой по вкладке → «Показать» или «Отобразить».</t>
        </is>
      </c>
    </row>
    <row r="7" ht="42" customHeight="1">
      <c r="A7" s="2" t="inlineStr">
        <is>
          <t>5</t>
        </is>
      </c>
      <c r="B7" s="3" t="inlineStr">
        <is>
          <t>Проценты вводите как 25% или 0,25; деньги — числом без символа валюты.</t>
        </is>
      </c>
    </row>
    <row r="10">
      <c r="A10" s="6" t="inlineStr">
        <is>
          <t>Курс</t>
        </is>
      </c>
      <c r="B10" s="7" t="inlineStr">
        <is>
          <t>Метрики для контент-менеджера маркетплейсов · 20 уроков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8" customWidth="1" min="4" max="4"/>
    <col width="23" customWidth="1" min="5" max="5"/>
    <col width="14" customWidth="1" min="6" max="6"/>
    <col width="14" customWidth="1" min="7" max="7"/>
    <col width="14" customWidth="1" min="8" max="8"/>
    <col width="14" customWidth="1" min="9" max="9"/>
    <col width="19" customWidth="1" min="10" max="10"/>
    <col width="14" customWidth="1" min="11" max="11"/>
    <col width="20" customWidth="1" min="12" max="12"/>
  </cols>
  <sheetData>
    <row r="1" ht="30" customHeight="1">
      <c r="A1" s="1" t="inlineStr">
        <is>
          <t>Данные к уроку 10: Юнит-экономика: маржа и вклад</t>
        </is>
      </c>
    </row>
    <row r="2">
      <c r="A2" s="8" t="inlineStr">
        <is>
          <t>Значения — учебные. Меняйте их, чтобы тренироваться на собственных данных.</t>
        </is>
      </c>
    </row>
    <row r="4" ht="32" customHeight="1">
      <c r="A4" s="9" t="inlineStr">
        <is>
          <t>Период</t>
        </is>
      </c>
      <c r="B4" s="9" t="inlineStr">
        <is>
          <t>Показы</t>
        </is>
      </c>
      <c r="C4" s="9" t="inlineStr">
        <is>
          <t>Просмотры карточки</t>
        </is>
      </c>
      <c r="D4" s="9" t="inlineStr">
        <is>
          <t>Сессии карточки</t>
        </is>
      </c>
      <c r="E4" s="9" t="inlineStr">
        <is>
          <t>Добавления в корзину</t>
        </is>
      </c>
      <c r="F4" s="9" t="inlineStr">
        <is>
          <t>Заказы</t>
        </is>
      </c>
      <c r="G4" s="9" t="inlineStr">
        <is>
          <t>Покупатели</t>
        </is>
      </c>
      <c r="H4" s="9" t="inlineStr">
        <is>
          <t>GMV, ₽</t>
        </is>
      </c>
      <c r="I4" s="9" t="inlineStr">
        <is>
          <t>Возвраты, ₽</t>
        </is>
      </c>
      <c r="J4" s="9" t="inlineStr">
        <is>
          <t>Себестоимость, ₽</t>
        </is>
      </c>
      <c r="K4" s="9" t="inlineStr">
        <is>
          <t>Скидки, ₽</t>
        </is>
      </c>
      <c r="L4" s="9" t="inlineStr">
        <is>
          <t>Товаров в заказах</t>
        </is>
      </c>
    </row>
    <row r="5">
      <c r="A5" s="10" t="inlineStr">
        <is>
          <t>Неделя 1</t>
        </is>
      </c>
      <c r="B5" s="11" t="n">
        <v>100000</v>
      </c>
      <c r="C5" s="11" t="n">
        <v>28000</v>
      </c>
      <c r="D5" s="11" t="n">
        <v>24000</v>
      </c>
      <c r="E5" s="11" t="n">
        <v>3500</v>
      </c>
      <c r="F5" s="11" t="n">
        <v>1200</v>
      </c>
      <c r="G5" s="11" t="n">
        <v>950</v>
      </c>
      <c r="H5" s="11" t="n">
        <v>1450000</v>
      </c>
      <c r="I5" s="11" t="n">
        <v>95000</v>
      </c>
      <c r="J5" s="11" t="n">
        <v>650000</v>
      </c>
      <c r="K5" s="11" t="n">
        <v>80000</v>
      </c>
      <c r="L5" s="11" t="n">
        <v>1450</v>
      </c>
    </row>
    <row r="6">
      <c r="A6" s="12" t="inlineStr">
        <is>
          <t>Неделя 2</t>
        </is>
      </c>
      <c r="B6" s="13" t="n">
        <v>120000</v>
      </c>
      <c r="C6" s="13" t="n">
        <v>30000</v>
      </c>
      <c r="D6" s="13" t="n">
        <v>26000</v>
      </c>
      <c r="E6" s="13" t="n">
        <v>3800</v>
      </c>
      <c r="F6" s="13" t="n">
        <v>1260</v>
      </c>
      <c r="G6" s="13" t="n">
        <v>980</v>
      </c>
      <c r="H6" s="13" t="n">
        <v>1680000</v>
      </c>
      <c r="I6" s="13" t="n">
        <v>110000</v>
      </c>
      <c r="J6" s="13" t="n">
        <v>760000</v>
      </c>
      <c r="K6" s="13" t="n">
        <v>100000</v>
      </c>
      <c r="L6" s="13" t="n">
        <v>1510</v>
      </c>
    </row>
    <row r="7">
      <c r="A7" s="10" t="inlineStr">
        <is>
          <t>Неделя 3</t>
        </is>
      </c>
      <c r="B7" s="11" t="n">
        <v>90000</v>
      </c>
      <c r="C7" s="11" t="n">
        <v>27000</v>
      </c>
      <c r="D7" s="11" t="n">
        <v>23000</v>
      </c>
      <c r="E7" s="11" t="n">
        <v>3900</v>
      </c>
      <c r="F7" s="11" t="n">
        <v>1500</v>
      </c>
      <c r="G7" s="11" t="n">
        <v>1160</v>
      </c>
      <c r="H7" s="11" t="n">
        <v>1950000</v>
      </c>
      <c r="I7" s="11" t="n">
        <v>150000</v>
      </c>
      <c r="J7" s="11" t="n">
        <v>890000</v>
      </c>
      <c r="K7" s="11" t="n">
        <v>120000</v>
      </c>
      <c r="L7" s="11" t="n">
        <v>1650</v>
      </c>
    </row>
    <row r="8">
      <c r="A8" s="14" t="inlineStr">
        <is>
          <t>Итого</t>
        </is>
      </c>
      <c r="B8" s="15">
        <f>SUM(B5:B7)</f>
        <v/>
      </c>
      <c r="C8" s="15">
        <f>SUM(C5:C7)</f>
        <v/>
      </c>
      <c r="D8" s="15">
        <f>SUM(D5:D7)</f>
        <v/>
      </c>
      <c r="E8" s="15">
        <f>SUM(E5:E7)</f>
        <v/>
      </c>
      <c r="F8" s="15">
        <f>SUM(F5:F7)</f>
        <v/>
      </c>
      <c r="G8" s="15">
        <f>SUM(G5:G7)</f>
        <v/>
      </c>
      <c r="H8" s="15">
        <f>SUM(H5:H7)</f>
        <v/>
      </c>
      <c r="I8" s="15">
        <f>SUM(I5:I7)</f>
        <v/>
      </c>
      <c r="J8" s="15">
        <f>SUM(J5:J7)</f>
        <v/>
      </c>
      <c r="K8" s="15">
        <f>SUM(K5:K7)</f>
        <v/>
      </c>
      <c r="L8" s="15">
        <f>SUM(L5:L7)</f>
        <v/>
      </c>
    </row>
  </sheetData>
  <autoFilter ref="A4:L7"/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23" customWidth="1" min="2" max="2"/>
    <col width="17" customWidth="1" min="3" max="3"/>
    <col width="55" customWidth="1" min="4" max="4"/>
  </cols>
  <sheetData>
    <row r="1" ht="30" customHeight="1">
      <c r="A1" s="1" t="inlineStr">
        <is>
          <t>Тренажёр 10: Юнит-экономика: маржа и вклад</t>
        </is>
      </c>
    </row>
    <row r="2">
      <c r="A2" s="16" t="inlineStr">
        <is>
          <t>Введите ответы в жёлтые ячейки. Excel пересчитает проверку автоматически.</t>
        </is>
      </c>
    </row>
    <row r="4" ht="32" customHeight="1">
      <c r="A4" s="9" t="inlineStr">
        <is>
          <t>Задание</t>
        </is>
      </c>
      <c r="B4" s="9" t="inlineStr">
        <is>
          <t>Ваш ответ</t>
        </is>
      </c>
      <c r="C4" s="9" t="inlineStr">
        <is>
          <t>Проверка</t>
        </is>
      </c>
      <c r="D4" s="9" t="inlineStr">
        <is>
          <t>Подсказка / правило</t>
        </is>
      </c>
    </row>
    <row r="5" ht="48" customHeight="1">
      <c r="A5" s="17" t="inlineStr">
        <is>
          <t>Вклад</t>
        </is>
      </c>
      <c r="B5" s="18" t="n"/>
      <c r="C5" s="19">
        <f>IF(B5="","Введите ответ",IF(ABS(B5-('Данные'!H6-'Данные'!I6-'Данные'!K6-'Данные'!J6))&lt;0.0001,"Верно","Проверьте"))</f>
        <v/>
      </c>
      <c r="D5" s="10" t="inlineStr">
        <is>
          <t>Сначала реализованная выручка, затем минус себестоимость.</t>
        </is>
      </c>
    </row>
    <row r="6" ht="48" customHeight="1">
      <c r="A6" s="17" t="inlineStr">
        <is>
          <t>Маржа</t>
        </is>
      </c>
      <c r="B6" s="20" t="n"/>
      <c r="C6" s="19">
        <f>IF(B6="","Введите ответ",IF(ABS(B6-(('Данные'!H6-'Данные'!I6-'Данные'!K6-'Данные'!J6)/('Данные'!H6-'Данные'!I6-'Данные'!K6)))&lt;0.0001,"Верно","Проверьте"))</f>
        <v/>
      </c>
      <c r="D6" s="10" t="inlineStr">
        <is>
          <t>Вклад ÷ (GMV − возвраты − скидки).</t>
        </is>
      </c>
    </row>
    <row r="7" ht="48" customHeight="1">
      <c r="A7" s="17" t="inlineStr">
        <is>
          <t>База маржи</t>
        </is>
      </c>
      <c r="B7" s="21" t="n"/>
      <c r="C7" s="19">
        <f>IF(B7="","Введите ответ",IF(LOWER(TRIM(B7))=LOWER(TRIM("Базу и период")) ,"Верно","Проверьте"))</f>
        <v/>
      </c>
      <c r="D7" s="10" t="inlineStr">
        <is>
          <t>Без базы и периода маржа неоднозначна.</t>
        </is>
      </c>
    </row>
    <row r="9">
      <c r="A9" s="17" t="inlineStr">
        <is>
          <t>Прогресс</t>
        </is>
      </c>
      <c r="B9" s="22">
        <f>COUNTIF(C5:C7,"Верно")&amp;" / 3 — "&amp;TEXT(COUNTIF(C5:C7,"Верно")/3,"0%")</f>
        <v/>
      </c>
    </row>
  </sheetData>
  <autoFilter ref="A4:D7"/>
  <mergeCells count="2">
    <mergeCell ref="A1:D1"/>
    <mergeCell ref="A2:D2"/>
  </mergeCells>
  <conditionalFormatting sqref="C5:C7">
    <cfRule type="expression" priority="1" dxfId="0">
      <formula>C5="Верно"</formula>
    </cfRule>
    <cfRule type="expression" priority="2" dxfId="1">
      <formula>C5="Проверьте"</formula>
    </cfRule>
    <cfRule type="expression" priority="3" dxfId="2">
      <formula>C5="Введите ответ"</formula>
    </cfRule>
  </conditionalFormatting>
  <dataValidations count="1">
    <dataValidation sqref="B7" showDropDown="0" showInputMessage="0" showErrorMessage="0" allowBlank="1" type="list">
      <formula1>"Базу и период,Цвет отчёта,Название файла"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30" customHeight="1">
      <c r="A1" s="1" t="inlineStr">
        <is>
          <t>Справочник урока 10</t>
        </is>
      </c>
    </row>
    <row r="3" ht="52" customHeight="1">
      <c r="A3" s="23" t="inlineStr">
        <is>
          <t>Цель</t>
        </is>
      </c>
      <c r="B3" s="10" t="inlineStr">
        <is>
          <t>Связать выручку, себестоимость, скидки и возвраты с вкладом в результат.</t>
        </is>
      </c>
    </row>
    <row r="4" ht="52" customHeight="1">
      <c r="A4" s="24" t="inlineStr">
        <is>
          <t>Формула</t>
        </is>
      </c>
      <c r="B4" s="12" t="inlineStr">
        <is>
          <t>Учебный вклад = реализованная выручка − себестоимость. Вклад с маржой = вклад / реализованная выручка.</t>
        </is>
      </c>
    </row>
    <row r="5" ht="52" customHeight="1">
      <c r="A5" s="23" t="inlineStr">
        <is>
          <t>Как считать</t>
        </is>
      </c>
      <c r="B5" s="10" t="inlineStr">
        <is>
          <t>Зафиксируйте, какие расходы относятся к переменным, а какие — к постоянным. В маркетплейс-анализе отделяйте маржу от оборачиваемости и рекламных затрат.</t>
        </is>
      </c>
    </row>
    <row r="6" ht="52" customHeight="1">
      <c r="A6" s="24" t="inlineStr">
        <is>
          <t>Пример</t>
        </is>
      </c>
      <c r="B6" s="12" t="inlineStr">
        <is>
          <t>1 470 000 − 760 000 = 710 000 ₽ учебного вклада; маржа ≈ 48,30% при выбранной базе.</t>
        </is>
      </c>
    </row>
    <row r="7" ht="52" customHeight="1">
      <c r="A7" s="23" t="inlineStr">
        <is>
          <t>Типичная ошибка</t>
        </is>
      </c>
      <c r="B7" s="10" t="inlineStr">
        <is>
          <t>Считать маржу как GMV минус себестоимость, забывая возвраты и скидки.</t>
        </is>
      </c>
    </row>
    <row r="8" ht="52" customHeight="1">
      <c r="A8" s="24" t="inlineStr">
        <is>
          <t>Действие</t>
        </is>
      </c>
      <c r="B8" s="12" t="inlineStr">
        <is>
          <t>В отчёте укажите базу маржи и период. Одна и та же цифра с разными базами — разные метрики.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38" customWidth="1" min="2" max="2"/>
    <col width="70" customWidth="1" min="3" max="3"/>
  </cols>
  <sheetData>
    <row r="1" ht="30" customHeight="1">
      <c r="A1" s="1" t="inlineStr">
        <is>
          <t>Ответы к уроку 10</t>
        </is>
      </c>
    </row>
    <row r="4" ht="32" customHeight="1">
      <c r="A4" s="9" t="inlineStr">
        <is>
          <t>Задание</t>
        </is>
      </c>
      <c r="B4" s="9" t="inlineStr">
        <is>
          <t>Ответ / формула</t>
        </is>
      </c>
      <c r="C4" s="9" t="inlineStr">
        <is>
          <t>Как получить</t>
        </is>
      </c>
    </row>
    <row r="5" ht="48" customHeight="1">
      <c r="A5" s="10" t="inlineStr">
        <is>
          <t>Вклад</t>
        </is>
      </c>
      <c r="B5" s="25">
        <f>'Данные'!H6-'Данные'!I6-'Данные'!K6-'Данные'!J6</f>
        <v/>
      </c>
      <c r="C5" s="10" t="inlineStr">
        <is>
          <t>Сначала реализованная выручка, затем минус себестоимость.</t>
        </is>
      </c>
    </row>
    <row r="6" ht="48" customHeight="1">
      <c r="A6" s="12" t="inlineStr">
        <is>
          <t>Маржа</t>
        </is>
      </c>
      <c r="B6" s="26">
        <f>('Данные'!H6-'Данные'!I6-'Данные'!K6-'Данные'!J6)/('Данные'!H6-'Данные'!I6-'Данные'!K6)</f>
        <v/>
      </c>
      <c r="C6" s="12" t="inlineStr">
        <is>
          <t>Вклад ÷ (GMV − возвраты − скидки).</t>
        </is>
      </c>
    </row>
    <row r="7" ht="48" customHeight="1">
      <c r="A7" s="10" t="inlineStr">
        <is>
          <t>База маржи</t>
        </is>
      </c>
      <c r="B7" s="10" t="inlineStr">
        <is>
          <t>Базу и период</t>
        </is>
      </c>
      <c r="C7" s="10" t="inlineStr">
        <is>
          <t>Без базы и периода маржа неоднозначна.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Hermes Agent</dc:creator>
  <dc:title xmlns:dc="http://purl.org/dc/elements/1.1/">Тренажёр 10: Юнит-экономика: маржа и вклад</dc:title>
  <dc:subject xmlns:dc="http://purl.org/dc/elements/1.1/">Метрики для контент-менеджера маркетплейсов</dc:subject>
  <dcterms:created xmlns:dcterms="http://purl.org/dc/terms/" xmlns:xsi="http://www.w3.org/2001/XMLSchema-instance" xsi:type="dcterms:W3CDTF">2026-09-23T20:47:05Z</dcterms:created>
  <dcterms:modified xmlns:dcterms="http://purl.org/dc/terms/" xmlns:xsi="http://www.w3.org/2001/XMLSchema-instance" xsi:type="dcterms:W3CDTF">2026-09-23T20:47:05Z</dcterms:modified>
</cp:coreProperties>
</file>