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'Данные'!$A$4:$E$8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1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2Data" displayName="Lesson12Data" ref="A4:E8" headerRowCount="1">
  <autoFilter ref="A4:E8"/>
  <tableColumns count="5">
    <tableColumn id="1" name="Запрос"/>
    <tableColumn id="2" name="Показы"/>
    <tableColumn id="3" name="Клики"/>
    <tableColumn id="4" name="Заказы"/>
    <tableColumn id="5" name="GMV, 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12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Данные к уроку 12: Поисковые запросы и релевантность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Запрос</t>
        </is>
      </c>
      <c r="B4" s="9" t="inlineStr">
        <is>
          <t>Показы</t>
        </is>
      </c>
      <c r="C4" s="9" t="inlineStr">
        <is>
          <t>Клики</t>
        </is>
      </c>
      <c r="D4" s="9" t="inlineStr">
        <is>
          <t>Заказы</t>
        </is>
      </c>
      <c r="E4" s="9" t="inlineStr">
        <is>
          <t>GMV, ₽</t>
        </is>
      </c>
    </row>
    <row r="5">
      <c r="A5" s="10" t="inlineStr">
        <is>
          <t>кроссовки</t>
        </is>
      </c>
      <c r="B5" s="11" t="n">
        <v>10000</v>
      </c>
      <c r="C5" s="11" t="n">
        <v>1000</v>
      </c>
      <c r="D5" s="11" t="n">
        <v>30</v>
      </c>
      <c r="E5" s="11" t="n">
        <v>39000</v>
      </c>
    </row>
    <row r="6">
      <c r="A6" s="12" t="inlineStr">
        <is>
          <t>белые кроссовки</t>
        </is>
      </c>
      <c r="B6" s="13" t="n">
        <v>7000</v>
      </c>
      <c r="C6" s="13" t="n">
        <v>700</v>
      </c>
      <c r="D6" s="13" t="n">
        <v>28</v>
      </c>
      <c r="E6" s="13" t="n">
        <v>36400</v>
      </c>
    </row>
    <row r="7">
      <c r="A7" s="10" t="inlineStr">
        <is>
          <t>кроссовки для бега</t>
        </is>
      </c>
      <c r="B7" s="11" t="n">
        <v>6000</v>
      </c>
      <c r="C7" s="11" t="n">
        <v>300</v>
      </c>
      <c r="D7" s="11" t="n">
        <v>9</v>
      </c>
      <c r="E7" s="11" t="n">
        <v>12600</v>
      </c>
    </row>
    <row r="8">
      <c r="A8" s="12" t="inlineStr">
        <is>
          <t>купить кроссовки</t>
        </is>
      </c>
      <c r="B8" s="13" t="n">
        <v>5000</v>
      </c>
      <c r="C8" s="13" t="n">
        <v>150</v>
      </c>
      <c r="D8" s="13" t="n">
        <v>4</v>
      </c>
      <c r="E8" s="13" t="n">
        <v>5200</v>
      </c>
    </row>
  </sheetData>
  <autoFilter ref="A4:E8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12: Поисковые запросы и релевантность</t>
        </is>
      </c>
    </row>
    <row r="2">
      <c r="A2" s="14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5" t="inlineStr">
        <is>
          <t>CTR запроса</t>
        </is>
      </c>
      <c r="B5" s="16" t="n"/>
      <c r="C5" s="17">
        <f>IF(B5="","Введите ответ",IF(ABS(B5-('Данные'!C5/'Данные'!B5))&lt;0.0001,"Верно","Проверьте"))</f>
        <v/>
      </c>
      <c r="D5" s="10" t="inlineStr">
        <is>
          <t>Клики ÷ показы; строка 5 — «кроссовки».</t>
        </is>
      </c>
    </row>
    <row r="6" ht="48" customHeight="1">
      <c r="A6" s="15" t="inlineStr">
        <is>
          <t>Конверсия клика</t>
        </is>
      </c>
      <c r="B6" s="16" t="n"/>
      <c r="C6" s="17">
        <f>IF(B6="","Введите ответ",IF(ABS(B6-('Данные'!D5/'Данные'!C5))&lt;0.0001,"Верно","Проверьте"))</f>
        <v/>
      </c>
      <c r="D6" s="10" t="inlineStr">
        <is>
          <t>Заказы ÷ клики.</t>
        </is>
      </c>
    </row>
    <row r="7" ht="48" customHeight="1">
      <c r="A7" s="15" t="inlineStr">
        <is>
          <t>Приоритет</t>
        </is>
      </c>
      <c r="B7" s="18" t="n"/>
      <c r="C7" s="17">
        <f>IF(B7="","Введите ответ",IF(LOWER(TRIM(B7))=LOWER(TRIM("Низкая конверсия после клика")) ,"Верно","Проверьте"))</f>
        <v/>
      </c>
      <c r="D7" s="10" t="inlineStr">
        <is>
          <t>Спрос есть, но после клика теряется много пользователей — проверьте карточку и обещание.</t>
        </is>
      </c>
    </row>
    <row r="9">
      <c r="A9" s="15" t="inlineStr">
        <is>
          <t>Прогресс</t>
        </is>
      </c>
      <c r="B9" s="19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"Низкая конверсия после клика,Только большой объём,Только длина запроса"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12</t>
        </is>
      </c>
    </row>
    <row r="3" ht="52" customHeight="1">
      <c r="A3" s="20" t="inlineStr">
        <is>
          <t>Цель</t>
        </is>
      </c>
      <c r="B3" s="10" t="inlineStr">
        <is>
          <t>Связать поисковый спрос с кликами, заказами и качеством найденной карточки.</t>
        </is>
      </c>
    </row>
    <row r="4" ht="52" customHeight="1">
      <c r="A4" s="21" t="inlineStr">
        <is>
          <t>Формула</t>
        </is>
      </c>
      <c r="B4" s="12" t="inlineStr">
        <is>
          <t>CTR запроса = клики / показы по запросу. Конверсия запроса = заказы / клики по запросу.</t>
        </is>
      </c>
    </row>
    <row r="5" ht="52" customHeight="1">
      <c r="A5" s="20" t="inlineStr">
        <is>
          <t>Как считать</t>
        </is>
      </c>
      <c r="B5" s="10" t="inlineStr">
        <is>
          <t>Смотрите не только на запрос с максимальным объёмом, но и на связку «показы → клик → заказ». Низкий CTR может быть проблемой релевантности или названия.</t>
        </is>
      </c>
    </row>
    <row r="6" ht="52" customHeight="1">
      <c r="A6" s="21" t="inlineStr">
        <is>
          <t>Пример</t>
        </is>
      </c>
      <c r="B6" s="12" t="inlineStr">
        <is>
          <t>Запрос с 10 000 показов и 1 000 кликов имеет CTR 10%; если заказов 30, конверсия клика = 3%.</t>
        </is>
      </c>
    </row>
    <row r="7" ht="52" customHeight="1">
      <c r="A7" s="20" t="inlineStr">
        <is>
          <t>Типичная ошибка</t>
        </is>
      </c>
      <c r="B7" s="10" t="inlineStr">
        <is>
          <t>Бросать все усилия в запрос с большим трафиком, если он почти не конвертирует.</t>
        </is>
      </c>
    </row>
    <row r="8" ht="52" customHeight="1">
      <c r="A8" s="21" t="inlineStr">
        <is>
          <t>Действие</t>
        </is>
      </c>
      <c r="B8" s="12" t="inlineStr">
        <is>
          <t>Разделите запросы на группы по intent: широкий, брендовый, сравнительный, с ценой и симптомом/проблемой.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12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CTR запроса</t>
        </is>
      </c>
      <c r="B5" s="22">
        <f>'Данные'!C5/'Данные'!B5</f>
        <v/>
      </c>
      <c r="C5" s="10" t="inlineStr">
        <is>
          <t>Клики ÷ показы; строка 5 — «кроссовки».</t>
        </is>
      </c>
    </row>
    <row r="6" ht="48" customHeight="1">
      <c r="A6" s="12" t="inlineStr">
        <is>
          <t>Конверсия клика</t>
        </is>
      </c>
      <c r="B6" s="23">
        <f>'Данные'!D5/'Данные'!C5</f>
        <v/>
      </c>
      <c r="C6" s="12" t="inlineStr">
        <is>
          <t>Заказы ÷ клики.</t>
        </is>
      </c>
    </row>
    <row r="7" ht="48" customHeight="1">
      <c r="A7" s="10" t="inlineStr">
        <is>
          <t>Приоритет</t>
        </is>
      </c>
      <c r="B7" s="10" t="inlineStr">
        <is>
          <t>Низкая конверсия после клика</t>
        </is>
      </c>
      <c r="C7" s="10" t="inlineStr">
        <is>
          <t>Спрос есть, но после клика теряется много пользователей — проверьте карточку и обещание.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12: Поисковые запросы и релевантность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