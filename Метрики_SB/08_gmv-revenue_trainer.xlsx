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₽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64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1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8Data" displayName="Lesson8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8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8: GMV, выручка и реализация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8: GMV, выручка и реализация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Реализованная выручка</t>
        </is>
      </c>
      <c r="B5" s="18" t="n"/>
      <c r="C5" s="19">
        <f>IF(B5="","Введите ответ",IF(ABS(B5-('Данные'!H6-'Данные'!I6-'Данные'!K6))&lt;0.0001,"Верно","Проверьте"))</f>
        <v/>
      </c>
      <c r="D5" s="10" t="inlineStr">
        <is>
          <t>В деньгах: GMV минус возвраты минус скидки.</t>
        </is>
      </c>
    </row>
    <row r="6" ht="48" customHeight="1">
      <c r="A6" s="17" t="inlineStr">
        <is>
          <t>Доля возвратов</t>
        </is>
      </c>
      <c r="B6" s="20" t="n"/>
      <c r="C6" s="19">
        <f>IF(B6="","Введите ответ",IF(ABS(B6-('Данные'!I6/'Данные'!H6))&lt;0.0001,"Верно","Проверьте"))</f>
        <v/>
      </c>
      <c r="D6" s="10" t="inlineStr">
        <is>
          <t>Возвраты ÷ GMV.</t>
        </is>
      </c>
    </row>
    <row r="7" ht="48" customHeight="1">
      <c r="A7" s="17" t="inlineStr">
        <is>
          <t>Определение</t>
        </is>
      </c>
      <c r="B7" s="21" t="n"/>
      <c r="C7" s="19">
        <f>IF(B7="","Введите ответ",IF(LOWER(TRIM(B7))=LOWER(TRIM("Стоимость оформленных заказов")) ,"Верно","Проверьте"))</f>
        <v/>
      </c>
      <c r="D7" s="10" t="inlineStr">
        <is>
          <t>GMV не равен прибыли и не всегда равна выручке после возвратов.</t>
        </is>
      </c>
    </row>
    <row r="9">
      <c r="A9" s="17" t="inlineStr">
        <is>
          <t>Прогресс</t>
        </is>
      </c>
      <c r="B9" s="22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"Стоимость оформленных заказов,Чистая прибыль,Число показов"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8</t>
        </is>
      </c>
    </row>
    <row r="3" ht="52" customHeight="1">
      <c r="A3" s="23" t="inlineStr">
        <is>
          <t>Цель</t>
        </is>
      </c>
      <c r="B3" s="10" t="inlineStr">
        <is>
          <t>Разделить оборот, фактическую выручку и деньги после возвратов.</t>
        </is>
      </c>
    </row>
    <row r="4" ht="52" customHeight="1">
      <c r="A4" s="24" t="inlineStr">
        <is>
          <t>Формула</t>
        </is>
      </c>
      <c r="B4" s="12" t="inlineStr">
        <is>
          <t>В учебнике: реализованная выручка = GMV − возвраты − скидки. Фактический платёж зависит от правил площадки и учёта.</t>
        </is>
      </c>
    </row>
    <row r="5" ht="52" customHeight="1">
      <c r="A5" s="23" t="inlineStr">
        <is>
          <t>Как считать</t>
        </is>
      </c>
      <c r="B5" s="10" t="inlineStr">
        <is>
          <t>Согласуйте определения до отчёта: GMV — стоимость оформленных заказов, выручка — принятая/оплаченная часть, возвраты — отменённая или возвращённая часть.</t>
        </is>
      </c>
    </row>
    <row r="6" ht="52" customHeight="1">
      <c r="A6" s="24" t="inlineStr">
        <is>
          <t>Пример</t>
        </is>
      </c>
      <c r="B6" s="12" t="inlineStr">
        <is>
          <t>GMV 1 680 000 ₽, возвраты 110 000 ₽, скидки 100 000 ₽: расчётная реализованная выручка по учебной формуле — 1 470 000 ₽.</t>
        </is>
      </c>
    </row>
    <row r="7" ht="52" customHeight="1">
      <c r="A7" s="23" t="inlineStr">
        <is>
          <t>Типичная ошибка</t>
        </is>
      </c>
      <c r="B7" s="10" t="inlineStr">
        <is>
          <t>Складывать GMV с выручкой или считать возвраты как обычный негативный CTR.</t>
        </is>
      </c>
    </row>
    <row r="8" ht="52" customHeight="1">
      <c r="A8" s="24" t="inlineStr">
        <is>
          <t>Действие</t>
        </is>
      </c>
      <c r="B8" s="12" t="inlineStr">
        <is>
          <t>В каждом отчёте подпишите, включены ли возвраты и скидки в выбранную метрику.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8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Реализованная выручка</t>
        </is>
      </c>
      <c r="B5" s="25">
        <f>'Данные'!H6-'Данные'!I6-'Данные'!K6</f>
        <v/>
      </c>
      <c r="C5" s="10" t="inlineStr">
        <is>
          <t>В деньгах: GMV минус возвраты минус скидки.</t>
        </is>
      </c>
    </row>
    <row r="6" ht="48" customHeight="1">
      <c r="A6" s="12" t="inlineStr">
        <is>
          <t>Доля возвратов</t>
        </is>
      </c>
      <c r="B6" s="26">
        <f>'Данные'!I6/'Данные'!H6</f>
        <v/>
      </c>
      <c r="C6" s="12" t="inlineStr">
        <is>
          <t>Возвраты ÷ GMV.</t>
        </is>
      </c>
    </row>
    <row r="7" ht="48" customHeight="1">
      <c r="A7" s="10" t="inlineStr">
        <is>
          <t>Определение</t>
        </is>
      </c>
      <c r="B7" s="10" t="inlineStr">
        <is>
          <t>Стоимость оформленных заказов</t>
        </is>
      </c>
      <c r="C7" s="10" t="inlineStr">
        <is>
          <t>GMV не равен прибыли и не всегда равна выручке после возвратов.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8: GMV, выручка и реализация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