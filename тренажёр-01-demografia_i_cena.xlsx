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Условия" sheetId="1" state="visible" r:id="rId1"/>
    <sheet xmlns:r="http://schemas.openxmlformats.org/officeDocument/2006/relationships" name="Задания" sheetId="2" state="visible" r:id="rId2"/>
    <sheet xmlns:r="http://schemas.openxmlformats.org/officeDocument/2006/relationships" name="Справка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7">
    <font>
      <name val="Calibri"/>
      <family val="2"/>
      <color theme="1"/>
      <sz val="11"/>
      <scheme val="minor"/>
    </font>
    <font>
      <b val="1"/>
      <color rgb="001F3864"/>
      <sz val="14"/>
    </font>
    <font>
      <b val="1"/>
      <color rgb="001F3864"/>
      <sz val="12"/>
    </font>
    <font>
      <b val="1"/>
      <color rgb="00FFFFFF"/>
      <sz val="11"/>
    </font>
    <font>
      <b val="1"/>
      <color rgb="008EA9DB"/>
    </font>
    <font>
      <b val="1"/>
    </font>
    <font>
      <i val="1"/>
      <color rgb="00808080"/>
      <sz val="9"/>
    </font>
  </fonts>
  <fills count="5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FFF2CC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vertical="top" wrapText="1"/>
    </xf>
    <xf numFmtId="1" fontId="0" fillId="3" borderId="1" pivotButton="0" quotePrefix="0" xfId="0"/>
    <xf numFmtId="1" fontId="4" fillId="4" borderId="0" pivotButton="0" quotePrefix="0" xfId="0"/>
    <xf numFmtId="0" fontId="5" fillId="0" borderId="1" pivotButton="0" quotePrefix="0" xfId="0"/>
    <xf numFmtId="2" fontId="0" fillId="3" borderId="1" pivotButton="0" quotePrefix="0" xfId="0"/>
    <xf numFmtId="2" fontId="4" fillId="4" borderId="0" pivotButton="0" quotePrefix="0" xfId="0"/>
    <xf numFmtId="164" fontId="0" fillId="3" borderId="1" pivotButton="0" quotePrefix="0" xfId="0"/>
    <xf numFmtId="164" fontId="4" fillId="4" borderId="0" pivotButton="0" quotePrefix="0" xfId="0"/>
    <xf numFmtId="0" fontId="0" fillId="3" borderId="1" pivotButton="0" quotePrefix="0" xfId="0"/>
    <xf numFmtId="0" fontId="4" fillId="4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46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</cols>
  <sheetData>
    <row r="1">
      <c r="A1" s="1" t="inlineStr">
        <is>
          <t>Тренажёр к уроку 1. Демография и цена: первые показатели</t>
        </is>
      </c>
    </row>
    <row r="3">
      <c r="A3" s="2" t="inlineStr">
        <is>
          <t>Контекст</t>
        </is>
      </c>
    </row>
    <row r="4">
      <c r="A4" s="3" t="inlineStr">
        <is>
          <t>Вы оцениваете SKU «Комплект 2-сп сатин» перед закупкой.</t>
        </is>
      </c>
    </row>
    <row r="5">
      <c r="A5" s="3" t="inlineStr">
        <is>
          <t>Собраны цены 10 ближайших конкурентов (прайс-шеренга ниже).</t>
        </is>
      </c>
    </row>
    <row r="7">
      <c r="A7" s="2" t="inlineStr">
        <is>
          <t>Цены конкурентов (10 SKU), ₽</t>
        </is>
      </c>
    </row>
    <row r="8">
      <c r="A8" s="4" t="inlineStr">
        <is>
          <t>№</t>
        </is>
      </c>
      <c r="B8" s="4" t="inlineStr">
        <is>
          <t>Конкурент</t>
        </is>
      </c>
      <c r="C8" s="4" t="inlineStr">
        <is>
          <t>Цена, ₽</t>
        </is>
      </c>
    </row>
    <row r="9">
      <c r="A9" s="5" t="n">
        <v>1</v>
      </c>
      <c r="B9" s="5" t="inlineStr">
        <is>
          <t>Сатин «Классика»</t>
        </is>
      </c>
      <c r="C9" s="5" t="n">
        <v>2190</v>
      </c>
    </row>
    <row r="10">
      <c r="A10" s="5" t="n">
        <v>2</v>
      </c>
      <c r="B10" s="5" t="inlineStr">
        <is>
          <t>Сатин «Гиацинт»</t>
        </is>
      </c>
      <c r="C10" s="5" t="n">
        <v>2290</v>
      </c>
    </row>
    <row r="11">
      <c r="A11" s="5" t="n">
        <v>3</v>
      </c>
      <c r="B11" s="5" t="inlineStr">
        <is>
          <t>Сатин «Нежность»</t>
        </is>
      </c>
      <c r="C11" s="5" t="n">
        <v>2350</v>
      </c>
    </row>
    <row r="12">
      <c r="A12" s="5" t="n">
        <v>4</v>
      </c>
      <c r="B12" s="5" t="inlineStr">
        <is>
          <t>Поплин «Ромашка»</t>
        </is>
      </c>
      <c r="C12" s="5" t="n">
        <v>1750</v>
      </c>
    </row>
    <row r="13">
      <c r="A13" s="5" t="n">
        <v>5</v>
      </c>
      <c r="B13" s="5" t="inlineStr">
        <is>
          <t>Сатин «Шелковый»</t>
        </is>
      </c>
      <c r="C13" s="5" t="n">
        <v>3120</v>
      </c>
    </row>
    <row r="14">
      <c r="A14" s="5" t="n">
        <v>6</v>
      </c>
      <c r="B14" s="5" t="inlineStr">
        <is>
          <t>Сатин «Полоски»</t>
        </is>
      </c>
      <c r="C14" s="5" t="n">
        <v>2450</v>
      </c>
    </row>
    <row r="15">
      <c r="A15" s="5" t="n">
        <v>7</v>
      </c>
      <c r="B15" s="5" t="inlineStr">
        <is>
          <t>Бязь «Эконом»</t>
        </is>
      </c>
      <c r="C15" s="5" t="n">
        <v>1490</v>
      </c>
    </row>
    <row r="16">
      <c r="A16" s="5" t="n">
        <v>8</v>
      </c>
      <c r="B16" s="5" t="inlineStr">
        <is>
          <t>Сатин «Молоко»</t>
        </is>
      </c>
      <c r="C16" s="5" t="n">
        <v>2280</v>
      </c>
    </row>
    <row r="17">
      <c r="A17" s="5" t="n">
        <v>9</v>
      </c>
      <c r="B17" s="5" t="inlineStr">
        <is>
          <t>Сатин «Кармен»</t>
        </is>
      </c>
      <c r="C17" s="5" t="n">
        <v>2390</v>
      </c>
    </row>
    <row r="18">
      <c r="A18" s="5" t="n">
        <v>10</v>
      </c>
      <c r="B18" s="5" t="inlineStr">
        <is>
          <t>Сатин «Премиум-строчка»</t>
        </is>
      </c>
      <c r="C18" s="5" t="n">
        <v>4150</v>
      </c>
    </row>
    <row r="21">
      <c r="A21" s="2" t="inlineStr">
        <is>
          <t>Личные показатели нашего SKU</t>
        </is>
      </c>
    </row>
    <row r="22">
      <c r="A22" s="4" t="inlineStr">
        <is>
          <t>Показатель</t>
        </is>
      </c>
      <c r="B22" s="4" t="inlineStr">
        <is>
          <t>Значение</t>
        </is>
      </c>
    </row>
    <row r="23">
      <c r="A23" s="5" t="inlineStr">
        <is>
          <t>Наша цена, ₽</t>
        </is>
      </c>
      <c r="B23" s="5" t="n">
        <v>2350</v>
      </c>
    </row>
    <row r="24">
      <c r="A24" s="5" t="inlineStr">
        <is>
          <t>Заказы за месяц</t>
        </is>
      </c>
      <c r="B24" s="5" t="n">
        <v>200</v>
      </c>
    </row>
    <row r="25">
      <c r="A25" s="5" t="inlineStr">
        <is>
          <t>Повторные заказы за месяц</t>
        </is>
      </c>
      <c r="B25" s="5" t="n">
        <v>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4" customWidth="1" min="1" max="1"/>
    <col width="8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Впишите свой ответ в жёлтую ячейку. Столбец «Статус» проверит вас автоматически.</t>
        </is>
      </c>
    </row>
    <row r="3">
      <c r="A3" s="4" t="inlineStr">
        <is>
          <t>№</t>
        </is>
      </c>
      <c r="B3" s="4" t="inlineStr">
        <is>
          <t>Задание</t>
        </is>
      </c>
      <c r="C3" s="4" t="inlineStr">
        <is>
          <t>Ваш ответ</t>
        </is>
      </c>
      <c r="D3" s="4" t="inlineStr">
        <is>
          <t>Правильный ответ (не подглядывать!)</t>
        </is>
      </c>
      <c r="E3" s="4" t="inlineStr">
        <is>
          <t>Статус</t>
        </is>
      </c>
    </row>
    <row r="4" ht="32" customHeight="1">
      <c r="A4" s="5" t="n">
        <v>1</v>
      </c>
      <c r="B4" s="6" t="inlineStr">
        <is>
          <t>Найдите медиану цен 10 конкурентов (отсортируйте по возрастанию, возьмите среднее значение между 5-м и 6-м).
Подсказка: Сортировка: 1490, 1750, 2190, 2280, 2290, 2350, 2390, 2450, 3120, 4150.</t>
        </is>
      </c>
      <c r="C4" s="7" t="n"/>
      <c r="D4" s="8" t="n">
        <v>2335</v>
      </c>
      <c r="E4" s="9">
        <f>IF(C4="","",IF(ABS(C4-D4)&lt;=0.05+ABS(D4)*0.001,"OK Верно","X Пересчитай"))</f>
        <v/>
      </c>
    </row>
    <row r="5" ht="32" customHeight="1">
      <c r="A5" s="5" t="n">
        <v>2</v>
      </c>
      <c r="B5" s="6" t="inlineStr">
        <is>
          <t>Рассчитайте дельту цены нашего SKU к медиане в %.
Подсказка: Дельта = (наша цена − медиана) / медиана × 100 = (2350−2335)/2335×100.</t>
        </is>
      </c>
      <c r="C5" s="10" t="n"/>
      <c r="D5" s="11" t="n">
        <v>0.64</v>
      </c>
      <c r="E5" s="9">
        <f>IF(C5="","",IF(ABS(C5-D5)&lt;=0.05+ABS(D5)*0.001,"OK Верно","X Пересчитай"))</f>
        <v/>
      </c>
    </row>
    <row r="6" ht="32" customHeight="1">
      <c r="A6" s="5" t="n">
        <v>3</v>
      </c>
      <c r="B6" s="6" t="inlineStr">
        <is>
          <t>Рассчитайте долю повторных покупок SKU в %.
Подсказка: Ретеншен = повторные / все заказы × 100.</t>
        </is>
      </c>
      <c r="C6" s="12" t="n"/>
      <c r="D6" s="13" t="n">
        <v>23</v>
      </c>
      <c r="E6" s="9">
        <f>IF(C6="","",IF(ABS(C6-D6)&lt;=0.05+ABS(D6)*0.001,"OK Верно","X Пересчитай"))</f>
        <v/>
      </c>
    </row>
    <row r="7" ht="32" customHeight="1">
      <c r="A7" s="5" t="n">
        <v>4</v>
      </c>
      <c r="B7" s="6" t="inlineStr">
        <is>
          <t>Если ретеншен выше 20–25% — реклама: снизить, оставить или усилить? (впишите полное слово)
Подсказка: Слово-ответ: «снизить». Числом здесь можно вписать любую цифру — ответ проверяйте по подсказке.</t>
        </is>
      </c>
      <c r="C7" s="14" t="n"/>
      <c r="D7" s="15" t="n">
        <v>0</v>
      </c>
      <c r="E7" s="9">
        <f>IF(C7="","",IF(ABS(C7-D7)&lt;=0.05+ABS(D7)*0.001,"OK Верно","X Пересчитай"))</f>
        <v/>
      </c>
    </row>
    <row r="9">
      <c r="B9" s="16" t="inlineStr">
        <is>
          <t>Правильный ответ в столбце D подкрашен бледным фоном — сначала решите сами.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4" customWidth="1" min="1" max="1"/>
    <col width="72" customWidth="1" min="2" max="2"/>
  </cols>
  <sheetData>
    <row r="1">
      <c r="A1" s="1" t="inlineStr">
        <is>
          <t>Краткая шпаргалка по формулам этого урока</t>
        </is>
      </c>
    </row>
    <row r="3">
      <c r="A3" s="4" t="inlineStr">
        <is>
          <t>Метрика</t>
        </is>
      </c>
      <c r="B3" s="4" t="inlineStr">
        <is>
          <t>Формула</t>
        </is>
      </c>
    </row>
    <row r="4">
      <c r="A4" s="5" t="inlineStr">
        <is>
          <t>Медианная цена</t>
        </is>
      </c>
      <c r="B4" s="6" t="inlineStr">
        <is>
          <t>Сортировка цен → элемент посередине (при чётном N — среднее двух центральных).</t>
        </is>
      </c>
    </row>
    <row r="5">
      <c r="A5" s="5" t="inlineStr">
        <is>
          <t>Дельта к медиане</t>
        </is>
      </c>
      <c r="B5" s="6">
        <f> (наша цена − медиана) / медиана × 100%.</f>
        <v/>
      </c>
    </row>
    <row r="6">
      <c r="A6" s="5" t="inlineStr">
        <is>
          <t>Ретеншен SKU</t>
        </is>
      </c>
      <c r="B6" s="6">
        <f> повторные заказы / все заказы × 100%.</f>
        <v/>
      </c>
    </row>
    <row r="7">
      <c r="A7" s="5" t="inlineStr">
        <is>
          <t>Решение по рекламе</t>
        </is>
      </c>
      <c r="B7" s="6" t="inlineStr">
        <is>
          <t>Ретеншен &gt; 20–25% → рекламу снижаем.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2026-09-23T20:51:03Z</dcterms:created>
  <dcterms:modified xmlns:dcterms="http://purl.org/dc/terms/" xmlns:xsi="http://www.w3.org/2001/XMLSchema-instance" xsi:type="dcterms:W3CDTF">2026-09-23T20:51:03Z</dcterms:modified>
</cp:coreProperties>
</file>